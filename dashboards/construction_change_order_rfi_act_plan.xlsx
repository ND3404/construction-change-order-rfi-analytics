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958593bd8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befd977767b74049"/>
    <x:sheet xmlns:r="http://schemas.openxmlformats.org/officeDocument/2006/relationships" name="KPI_Targets" sheetId="2" r:id="R17a6b979be204d0f"/>
    <x:sheet xmlns:r="http://schemas.openxmlformats.org/officeDocument/2006/relationships" name="Executive_Summary" sheetId="3" r:id="Reeaa246808c34bcc"/>
    <x:sheet xmlns:r="http://schemas.openxmlformats.org/officeDocument/2006/relationships" name="30_60_90_Roadmap" sheetId="4" r:id="Rd706e3000ab24fa8"/>
    <x:sheet xmlns:r="http://schemas.openxmlformats.org/officeDocument/2006/relationships" name="Action_Register" sheetId="5" r:id="R75607fef6a19424f"/>
    <x:sheet xmlns:r="http://schemas.openxmlformats.org/officeDocument/2006/relationships" name="Governance_Cadence" sheetId="6" r:id="R7097426c1b73445c"/>
    <x:sheet xmlns:r="http://schemas.openxmlformats.org/officeDocument/2006/relationships" name="Top_10_Project_Actions" sheetId="7" r:id="R58ef1c0206bc4ec8"/>
    <x:sheet xmlns:r="http://schemas.openxmlformats.org/officeDocument/2006/relationships" name="Control_Standards" sheetId="8" r:id="R706df34da53b4884"/>
    <x:sheet xmlns:r="http://schemas.openxmlformats.org/officeDocument/2006/relationships" name="Automation_Alerts" sheetId="9" r:id="R1ece01b728bf42ad"/>
    <x:sheet xmlns:r="http://schemas.openxmlformats.org/officeDocument/2006/relationships" name="RACI" sheetId="10" r:id="R43c54382f6844ee1"/>
    <x:sheet xmlns:r="http://schemas.openxmlformats.org/officeDocument/2006/relationships" name="Benefits_Tracking" sheetId="11" r:id="Rbbfa54718bb245fa"/>
    <x:sheet xmlns:r="http://schemas.openxmlformats.org/officeDocument/2006/relationships" name="Sources" sheetId="12" r:id="R44f5d744a76c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$#,##0"/>
    <x:numFmt numFmtId="202" formatCode="0.0 &quot;days&quot;"/>
    <x:numFmt numFmtId="203" formatCode="$#,##0.0,,&quot;M&quot;"/>
    <x:numFmt numFmtId="204" formatCode="0"/>
    <x:numFmt numFmtId="205" formatCode="0.0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E3557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  <x:font>
      <x:b/>
      <x:sz val="18"/>
      <x:color rgb="FF071A2C"/>
      <x:name val="Carlito"/>
    </x:font>
    <x:font>
      <x:b/>
      <x:sz val="10"/>
      <x:color rgb="FF0E35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1A2C"/>
      </x:patternFill>
    </x:fill>
    <x:fill>
      <x:patternFill patternType="solid">
        <x:fgColor rgb="FFDDF3F8"/>
      </x:patternFill>
    </x:fill>
    <x:fill>
      <x:patternFill patternType="solid">
        <x:fgColor rgb="FF155F86"/>
      </x:patternFill>
    </x:fill>
    <x:fill>
      <x:patternFill patternType="solid">
        <x:fgColor rgb="FFFFFFFF"/>
      </x:patternFill>
    </x:fill>
    <x:fill>
      <x:patternFill patternType="solid">
        <x:fgColor rgb="FFE8F1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200" fontId="5" fillId="5" borderId="2" xfId="0" applyNumberFormat="1" applyFont="1" applyFill="1" applyBorder="1"/>
    <x:xf numFmtId="200" fontId="5" fillId="5" borderId="3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0" xfId="0" applyNumberFormat="1" applyFont="1" applyFill="1" applyBorder="1"/>
    <x:xf numFmtId="200" fontId="5" fillId="5" borderId="6" xfId="0" applyNumberFormat="1" applyFont="1" applyFill="1" applyBorder="1"/>
    <x:xf numFmtId="200" fontId="5" fillId="5" borderId="7" xfId="0" applyNumberFormat="1" applyFont="1" applyFill="1" applyBorder="1"/>
    <x:xf numFmtId="200" fontId="5" fillId="5" borderId="8" xfId="0" applyNumberFormat="1" applyFont="1" applyFill="1" applyBorder="1"/>
    <x:xf numFmtId="200" fontId="5" fillId="5" borderId="9" xfId="0" applyNumberFormat="1" applyFont="1" applyFill="1" applyBorder="1"/>
    <x:xf numFmtId="200" fontId="5" fillId="5" borderId="2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/>
    </x:xf>
    <x:xf numFmtId="200" fontId="5" fillId="5" borderId="5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200" fontId="5" fillId="5" borderId="7" xfId="0" applyNumberFormat="1" applyFont="1" applyFill="1" applyBorder="1" applyAlignment="1">
      <x:alignment horizontal="center"/>
    </x:xf>
    <x:xf numFmtId="200" fontId="5" fillId="5" borderId="8" xfId="0" applyNumberFormat="1" applyFont="1" applyFill="1" applyBorder="1" applyAlignment="1">
      <x:alignment horizontal="center"/>
    </x:xf>
    <x:xf numFmtId="200" fontId="5" fillId="5" borderId="9" xfId="0" applyNumberFormat="1" applyFont="1" applyFill="1" applyBorder="1" applyAlignment="1">
      <x:alignment horizontal="center"/>
    </x:xf>
    <x:xf numFmtId="200" fontId="5" fillId="5" borderId="2" xfId="0" applyNumberFormat="1" applyFont="1" applyFill="1" applyBorder="1" applyAlignment="1">
      <x:alignment horizontal="center" vertical="center"/>
    </x:xf>
    <x:xf numFmtId="200" fontId="5" fillId="5" borderId="3" xfId="0" applyNumberFormat="1" applyFont="1" applyFill="1" applyBorder="1" applyAlignment="1">
      <x:alignment horizontal="center" vertical="center"/>
    </x:xf>
    <x:xf numFmtId="200" fontId="5" fillId="5" borderId="4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200" fontId="5" fillId="5" borderId="7" xfId="0" applyNumberFormat="1" applyFont="1" applyFill="1" applyBorder="1" applyAlignment="1">
      <x:alignment horizontal="center" vertical="center"/>
    </x:xf>
    <x:xf numFmtId="200" fontId="5" fillId="5" borderId="8" xfId="0" applyNumberFormat="1" applyFont="1" applyFill="1" applyBorder="1" applyAlignment="1">
      <x:alignment horizontal="center" vertical="center"/>
    </x:xf>
    <x:xf numFmtId="200" fontId="5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200" fontId="5" fillId="5" borderId="10" xfId="0" applyNumberFormat="1" applyFont="1" applyFill="1" applyBorder="1"/>
    <x:xf numFmtId="200" fontId="5" fillId="5" borderId="11" xfId="0" applyNumberFormat="1" applyFont="1" applyFill="1" applyBorder="1"/>
    <x:xf numFmtId="200" fontId="5" fillId="5" borderId="12" xfId="0" applyNumberFormat="1" applyFont="1" applyFill="1" applyBorder="1"/>
    <x:xf numFmtId="200" fontId="5" fillId="5" borderId="13" xfId="0" applyNumberFormat="1" applyFont="1" applyFill="1" applyBorder="1"/>
    <x:xf numFmtId="200" fontId="5" fillId="5" borderId="1" xfId="0" applyNumberFormat="1" applyFont="1" applyFill="1" applyBorder="1"/>
    <x:xf numFmtId="200" fontId="5" fillId="5" borderId="14" xfId="0" applyNumberFormat="1" applyFont="1" applyFill="1" applyBorder="1"/>
    <x:xf numFmtId="200" fontId="5" fillId="5" borderId="15" xfId="0" applyNumberFormat="1" applyFont="1" applyFill="1" applyBorder="1"/>
    <x:xf numFmtId="200" fontId="5" fillId="5" borderId="16" xfId="0" applyNumberFormat="1" applyFont="1" applyFill="1" applyBorder="1"/>
    <x:xf numFmtId="200" fontId="5" fillId="5" borderId="17" xfId="0" applyNumberFormat="1" applyFont="1" applyFill="1" applyBorder="1"/>
    <x:xf numFmtId="200" fontId="5" fillId="5" borderId="10" xfId="0" applyNumberFormat="1" applyFont="1" applyFill="1" applyBorder="1" applyAlignment="1">
      <x:alignment horizontal="center"/>
    </x:xf>
    <x:xf numFmtId="200" fontId="5" fillId="5" borderId="11" xfId="0" applyNumberFormat="1" applyFont="1" applyFill="1" applyBorder="1" applyAlignment="1">
      <x:alignment horizontal="center"/>
    </x:xf>
    <x:xf numFmtId="200" fontId="5" fillId="5" borderId="12" xfId="0" applyNumberFormat="1" applyFont="1" applyFill="1" applyBorder="1" applyAlignment="1">
      <x:alignment horizontal="center"/>
    </x:xf>
    <x:xf numFmtId="200" fontId="5" fillId="5" borderId="13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 applyAlignment="1">
      <x:alignment horizontal="center"/>
    </x:xf>
    <x:xf numFmtId="200" fontId="5" fillId="5" borderId="14" xfId="0" applyNumberFormat="1" applyFont="1" applyFill="1" applyBorder="1" applyAlignment="1">
      <x:alignment horizontal="center"/>
    </x:xf>
    <x:xf numFmtId="200" fontId="5" fillId="5" borderId="15" xfId="0" applyNumberFormat="1" applyFont="1" applyFill="1" applyBorder="1" applyAlignment="1">
      <x:alignment horizontal="center"/>
    </x:xf>
    <x:xf numFmtId="200" fontId="5" fillId="5" borderId="16" xfId="0" applyNumberFormat="1" applyFont="1" applyFill="1" applyBorder="1" applyAlignment="1">
      <x:alignment horizontal="center"/>
    </x:xf>
    <x:xf numFmtId="200" fontId="5" fillId="5" borderId="17" xfId="0" applyNumberFormat="1" applyFont="1" applyFill="1" applyBorder="1" applyAlignment="1">
      <x:alignment horizontal="center"/>
    </x:xf>
    <x:xf numFmtId="200" fontId="5" fillId="5" borderId="10" xfId="0" applyNumberFormat="1" applyFont="1" applyFill="1" applyBorder="1" applyAlignment="1">
      <x:alignment horizontal="center" vertical="center"/>
    </x:xf>
    <x:xf numFmtId="200" fontId="5" fillId="5" borderId="11" xfId="0" applyNumberFormat="1" applyFont="1" applyFill="1" applyBorder="1" applyAlignment="1">
      <x:alignment horizontal="center" vertical="center"/>
    </x:xf>
    <x:xf numFmtId="200" fontId="5" fillId="5" borderId="12" xfId="0" applyNumberFormat="1" applyFont="1" applyFill="1" applyBorder="1" applyAlignment="1">
      <x:alignment horizontal="center" vertical="center"/>
    </x:xf>
    <x:xf numFmtId="200" fontId="5" fillId="5" borderId="13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200" fontId="5" fillId="5" borderId="14" xfId="0" applyNumberFormat="1" applyFont="1" applyFill="1" applyBorder="1" applyAlignment="1">
      <x:alignment horizontal="center" vertical="center"/>
    </x:xf>
    <x:xf numFmtId="200" fontId="5" fillId="5" borderId="15" xfId="0" applyNumberFormat="1" applyFont="1" applyFill="1" applyBorder="1" applyAlignment="1">
      <x:alignment horizontal="center" vertical="center"/>
    </x:xf>
    <x:xf numFmtId="200" fontId="5" fillId="5" borderId="16" xfId="0" applyNumberFormat="1" applyFont="1" applyFill="1" applyBorder="1" applyAlignment="1">
      <x:alignment horizontal="center" vertical="center"/>
    </x:xf>
    <x:xf numFmtId="200" fontId="5" fillId="5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202" fontId="5" fillId="5" borderId="2" xfId="0" applyNumberFormat="1" applyFont="1" applyFill="1" applyBorder="1"/>
    <x:xf numFmtId="202" fontId="5" fillId="5" borderId="3" xfId="0" applyNumberFormat="1" applyFont="1" applyFill="1" applyBorder="1"/>
    <x:xf numFmtId="202" fontId="5" fillId="5" borderId="4" xfId="0" applyNumberFormat="1" applyFont="1" applyFill="1" applyBorder="1"/>
    <x:xf numFmtId="202" fontId="5" fillId="5" borderId="5" xfId="0" applyNumberFormat="1" applyFont="1" applyFill="1" applyBorder="1"/>
    <x:xf numFmtId="202" fontId="5" fillId="5" borderId="0" xfId="0" applyNumberFormat="1" applyFont="1" applyFill="1" applyBorder="1"/>
    <x:xf numFmtId="202" fontId="5" fillId="5" borderId="6" xfId="0" applyNumberFormat="1" applyFont="1" applyFill="1" applyBorder="1"/>
    <x:xf numFmtId="202" fontId="5" fillId="5" borderId="7" xfId="0" applyNumberFormat="1" applyFont="1" applyFill="1" applyBorder="1"/>
    <x:xf numFmtId="202" fontId="5" fillId="5" borderId="8" xfId="0" applyNumberFormat="1" applyFont="1" applyFill="1" applyBorder="1"/>
    <x:xf numFmtId="202" fontId="5" fillId="5" borderId="9" xfId="0" applyNumberFormat="1" applyFont="1" applyFill="1" applyBorder="1"/>
    <x:xf numFmtId="202" fontId="5" fillId="5" borderId="2" xfId="0" applyNumberFormat="1" applyFont="1" applyFill="1" applyBorder="1" applyAlignment="1">
      <x:alignment horizontal="center"/>
    </x:xf>
    <x:xf numFmtId="202" fontId="5" fillId="5" borderId="3" xfId="0" applyNumberFormat="1" applyFont="1" applyFill="1" applyBorder="1" applyAlignment="1">
      <x:alignment horizontal="center"/>
    </x:xf>
    <x:xf numFmtId="202" fontId="5" fillId="5" borderId="4" xfId="0" applyNumberFormat="1" applyFont="1" applyFill="1" applyBorder="1" applyAlignment="1">
      <x:alignment horizontal="center"/>
    </x:xf>
    <x:xf numFmtId="202" fontId="5" fillId="5" borderId="5" xfId="0" applyNumberFormat="1" applyFont="1" applyFill="1" applyBorder="1" applyAlignment="1">
      <x:alignment horizontal="center"/>
    </x:xf>
    <x:xf numFmtId="202" fontId="5" fillId="5" borderId="0" xfId="0" applyNumberFormat="1" applyFont="1" applyFill="1" applyBorder="1" applyAlignment="1">
      <x:alignment horizontal="center"/>
    </x:xf>
    <x:xf numFmtId="202" fontId="5" fillId="5" borderId="6" xfId="0" applyNumberFormat="1" applyFont="1" applyFill="1" applyBorder="1" applyAlignment="1">
      <x:alignment horizontal="center"/>
    </x:xf>
    <x:xf numFmtId="202" fontId="5" fillId="5" borderId="7" xfId="0" applyNumberFormat="1" applyFont="1" applyFill="1" applyBorder="1" applyAlignment="1">
      <x:alignment horizontal="center"/>
    </x:xf>
    <x:xf numFmtId="202" fontId="5" fillId="5" borderId="8" xfId="0" applyNumberFormat="1" applyFont="1" applyFill="1" applyBorder="1" applyAlignment="1">
      <x:alignment horizontal="center"/>
    </x:xf>
    <x:xf numFmtId="202" fontId="5" fillId="5" borderId="9" xfId="0" applyNumberFormat="1" applyFont="1" applyFill="1" applyBorder="1" applyAlignment="1">
      <x:alignment horizontal="center"/>
    </x:xf>
    <x:xf numFmtId="202" fontId="5" fillId="5" borderId="2" xfId="0" applyNumberFormat="1" applyFont="1" applyFill="1" applyBorder="1" applyAlignment="1">
      <x:alignment horizontal="center" vertical="center"/>
    </x:xf>
    <x:xf numFmtId="202" fontId="5" fillId="5" borderId="3" xfId="0" applyNumberFormat="1" applyFont="1" applyFill="1" applyBorder="1" applyAlignment="1">
      <x:alignment horizontal="center" vertical="center"/>
    </x:xf>
    <x:xf numFmtId="202" fontId="5" fillId="5" borderId="4" xfId="0" applyNumberFormat="1" applyFont="1" applyFill="1" applyBorder="1" applyAlignment="1">
      <x:alignment horizontal="center" vertical="center"/>
    </x:xf>
    <x:xf numFmtId="202" fontId="5" fillId="5" borderId="5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6" xfId="0" applyNumberFormat="1" applyFont="1" applyFill="1" applyBorder="1" applyAlignment="1">
      <x:alignment horizontal="center" vertical="center"/>
    </x:xf>
    <x:xf numFmtId="202" fontId="5" fillId="5" borderId="7" xfId="0" applyNumberFormat="1" applyFont="1" applyFill="1" applyBorder="1" applyAlignment="1">
      <x:alignment horizontal="center" vertical="center"/>
    </x:xf>
    <x:xf numFmtId="202" fontId="5" fillId="5" borderId="8" xfId="0" applyNumberFormat="1" applyFont="1" applyFill="1" applyBorder="1" applyAlignment="1">
      <x:alignment horizontal="center" vertical="center"/>
    </x:xf>
    <x:xf numFmtId="202" fontId="5" fillId="5" borderId="9" xfId="0" applyNumberFormat="1" applyFont="1" applyFill="1" applyBorder="1" applyAlignment="1">
      <x:alignment horizontal="center" vertical="center"/>
    </x:xf>
    <x:xf numFmtId="202" fontId="5" fillId="5" borderId="10" xfId="0" applyNumberFormat="1" applyFont="1" applyFill="1" applyBorder="1"/>
    <x:xf numFmtId="202" fontId="5" fillId="5" borderId="11" xfId="0" applyNumberFormat="1" applyFont="1" applyFill="1" applyBorder="1"/>
    <x:xf numFmtId="202" fontId="5" fillId="5" borderId="12" xfId="0" applyNumberFormat="1" applyFont="1" applyFill="1" applyBorder="1"/>
    <x:xf numFmtId="202" fontId="5" fillId="5" borderId="13" xfId="0" applyNumberFormat="1" applyFont="1" applyFill="1" applyBorder="1"/>
    <x:xf numFmtId="202" fontId="5" fillId="5" borderId="1" xfId="0" applyNumberFormat="1" applyFont="1" applyFill="1" applyBorder="1"/>
    <x:xf numFmtId="202" fontId="5" fillId="5" borderId="14" xfId="0" applyNumberFormat="1" applyFont="1" applyFill="1" applyBorder="1"/>
    <x:xf numFmtId="202" fontId="5" fillId="5" borderId="15" xfId="0" applyNumberFormat="1" applyFont="1" applyFill="1" applyBorder="1"/>
    <x:xf numFmtId="202" fontId="5" fillId="5" borderId="16" xfId="0" applyNumberFormat="1" applyFont="1" applyFill="1" applyBorder="1"/>
    <x:xf numFmtId="202" fontId="5" fillId="5" borderId="17" xfId="0" applyNumberFormat="1" applyFont="1" applyFill="1" applyBorder="1"/>
    <x:xf numFmtId="202" fontId="5" fillId="5" borderId="10" xfId="0" applyNumberFormat="1" applyFont="1" applyFill="1" applyBorder="1" applyAlignment="1">
      <x:alignment horizontal="center"/>
    </x:xf>
    <x:xf numFmtId="202" fontId="5" fillId="5" borderId="11" xfId="0" applyNumberFormat="1" applyFont="1" applyFill="1" applyBorder="1" applyAlignment="1">
      <x:alignment horizontal="center"/>
    </x:xf>
    <x:xf numFmtId="202" fontId="5" fillId="5" borderId="12" xfId="0" applyNumberFormat="1" applyFont="1" applyFill="1" applyBorder="1" applyAlignment="1">
      <x:alignment horizontal="center"/>
    </x:xf>
    <x:xf numFmtId="202" fontId="5" fillId="5" borderId="13" xfId="0" applyNumberFormat="1" applyFont="1" applyFill="1" applyBorder="1" applyAlignment="1">
      <x:alignment horizontal="center"/>
    </x:xf>
    <x:xf numFmtId="202" fontId="5" fillId="5" borderId="1" xfId="0" applyNumberFormat="1" applyFont="1" applyFill="1" applyBorder="1" applyAlignment="1">
      <x:alignment horizontal="center"/>
    </x:xf>
    <x:xf numFmtId="202" fontId="5" fillId="5" borderId="14" xfId="0" applyNumberFormat="1" applyFont="1" applyFill="1" applyBorder="1" applyAlignment="1">
      <x:alignment horizontal="center"/>
    </x:xf>
    <x:xf numFmtId="202" fontId="5" fillId="5" borderId="15" xfId="0" applyNumberFormat="1" applyFont="1" applyFill="1" applyBorder="1" applyAlignment="1">
      <x:alignment horizontal="center"/>
    </x:xf>
    <x:xf numFmtId="202" fontId="5" fillId="5" borderId="16" xfId="0" applyNumberFormat="1" applyFont="1" applyFill="1" applyBorder="1" applyAlignment="1">
      <x:alignment horizontal="center"/>
    </x:xf>
    <x:xf numFmtId="202" fontId="5" fillId="5" borderId="17" xfId="0" applyNumberFormat="1" applyFont="1" applyFill="1" applyBorder="1" applyAlignment="1">
      <x:alignment horizontal="center"/>
    </x:xf>
    <x:xf numFmtId="202" fontId="5" fillId="5" borderId="10" xfId="0" applyNumberFormat="1" applyFont="1" applyFill="1" applyBorder="1" applyAlignment="1">
      <x:alignment horizontal="center" vertical="center"/>
    </x:xf>
    <x:xf numFmtId="202" fontId="5" fillId="5" borderId="11" xfId="0" applyNumberFormat="1" applyFont="1" applyFill="1" applyBorder="1" applyAlignment="1">
      <x:alignment horizontal="center" vertical="center"/>
    </x:xf>
    <x:xf numFmtId="202" fontId="5" fillId="5" borderId="12" xfId="0" applyNumberFormat="1" applyFont="1" applyFill="1" applyBorder="1" applyAlignment="1">
      <x:alignment horizontal="center" vertical="center"/>
    </x:xf>
    <x:xf numFmtId="202" fontId="5" fillId="5" borderId="13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202" fontId="5" fillId="5" borderId="14" xfId="0" applyNumberFormat="1" applyFont="1" applyFill="1" applyBorder="1" applyAlignment="1">
      <x:alignment horizontal="center" vertical="center"/>
    </x:xf>
    <x:xf numFmtId="202" fontId="5" fillId="5" borderId="15" xfId="0" applyNumberFormat="1" applyFont="1" applyFill="1" applyBorder="1" applyAlignment="1">
      <x:alignment horizontal="center" vertical="center"/>
    </x:xf>
    <x:xf numFmtId="202" fontId="5" fillId="5" borderId="16" xfId="0" applyNumberFormat="1" applyFont="1" applyFill="1" applyBorder="1" applyAlignment="1">
      <x:alignment horizontal="center" vertical="center"/>
    </x:xf>
    <x:xf numFmtId="202" fontId="5" fillId="5" borderId="17" xfId="0" applyNumberFormat="1" applyFont="1" applyFill="1" applyBorder="1" applyAlignment="1">
      <x:alignment horizontal="center" vertical="center"/>
    </x:xf>
    <x:xf numFmtId="203" fontId="5" fillId="5" borderId="2" xfId="0" applyNumberFormat="1" applyFont="1" applyFill="1" applyBorder="1"/>
    <x:xf numFmtId="203" fontId="5" fillId="5" borderId="3" xfId="0" applyNumberFormat="1" applyFont="1" applyFill="1" applyBorder="1"/>
    <x:xf numFmtId="203" fontId="5" fillId="5" borderId="4" xfId="0" applyNumberFormat="1" applyFont="1" applyFill="1" applyBorder="1"/>
    <x:xf numFmtId="203" fontId="5" fillId="5" borderId="5" xfId="0" applyNumberFormat="1" applyFont="1" applyFill="1" applyBorder="1"/>
    <x:xf numFmtId="203" fontId="5" fillId="5" borderId="0" xfId="0" applyNumberFormat="1" applyFont="1" applyFill="1" applyBorder="1"/>
    <x:xf numFmtId="203" fontId="5" fillId="5" borderId="6" xfId="0" applyNumberFormat="1" applyFont="1" applyFill="1" applyBorder="1"/>
    <x:xf numFmtId="203" fontId="5" fillId="5" borderId="7" xfId="0" applyNumberFormat="1" applyFont="1" applyFill="1" applyBorder="1"/>
    <x:xf numFmtId="203" fontId="5" fillId="5" borderId="8" xfId="0" applyNumberFormat="1" applyFont="1" applyFill="1" applyBorder="1"/>
    <x:xf numFmtId="203" fontId="5" fillId="5" borderId="9" xfId="0" applyNumberFormat="1" applyFont="1" applyFill="1" applyBorder="1"/>
    <x:xf numFmtId="203" fontId="5" fillId="5" borderId="2" xfId="0" applyNumberFormat="1" applyFont="1" applyFill="1" applyBorder="1" applyAlignment="1">
      <x:alignment horizontal="center"/>
    </x:xf>
    <x:xf numFmtId="203" fontId="5" fillId="5" borderId="3" xfId="0" applyNumberFormat="1" applyFont="1" applyFill="1" applyBorder="1" applyAlignment="1">
      <x:alignment horizontal="center"/>
    </x:xf>
    <x:xf numFmtId="203" fontId="5" fillId="5" borderId="4" xfId="0" applyNumberFormat="1" applyFont="1" applyFill="1" applyBorder="1" applyAlignment="1">
      <x:alignment horizontal="center"/>
    </x:xf>
    <x:xf numFmtId="203" fontId="5" fillId="5" borderId="5" xfId="0" applyNumberFormat="1" applyFont="1" applyFill="1" applyBorder="1" applyAlignment="1">
      <x:alignment horizontal="center"/>
    </x:xf>
    <x:xf numFmtId="203" fontId="5" fillId="5" borderId="0" xfId="0" applyNumberFormat="1" applyFont="1" applyFill="1" applyBorder="1" applyAlignment="1">
      <x:alignment horizontal="center"/>
    </x:xf>
    <x:xf numFmtId="203" fontId="5" fillId="5" borderId="6" xfId="0" applyNumberFormat="1" applyFont="1" applyFill="1" applyBorder="1" applyAlignment="1">
      <x:alignment horizontal="center"/>
    </x:xf>
    <x:xf numFmtId="203" fontId="5" fillId="5" borderId="7" xfId="0" applyNumberFormat="1" applyFont="1" applyFill="1" applyBorder="1" applyAlignment="1">
      <x:alignment horizontal="center"/>
    </x:xf>
    <x:xf numFmtId="203" fontId="5" fillId="5" borderId="8" xfId="0" applyNumberFormat="1" applyFont="1" applyFill="1" applyBorder="1" applyAlignment="1">
      <x:alignment horizontal="center"/>
    </x:xf>
    <x:xf numFmtId="203" fontId="5" fillId="5" borderId="9" xfId="0" applyNumberFormat="1" applyFont="1" applyFill="1" applyBorder="1" applyAlignment="1">
      <x:alignment horizontal="center"/>
    </x:xf>
    <x:xf numFmtId="203" fontId="5" fillId="5" borderId="2" xfId="0" applyNumberFormat="1" applyFont="1" applyFill="1" applyBorder="1" applyAlignment="1">
      <x:alignment horizontal="center" vertical="center"/>
    </x:xf>
    <x:xf numFmtId="203" fontId="5" fillId="5" borderId="3" xfId="0" applyNumberFormat="1" applyFont="1" applyFill="1" applyBorder="1" applyAlignment="1">
      <x:alignment horizontal="center" vertical="center"/>
    </x:xf>
    <x:xf numFmtId="203" fontId="5" fillId="5" borderId="4" xfId="0" applyNumberFormat="1" applyFont="1" applyFill="1" applyBorder="1" applyAlignment="1">
      <x:alignment horizontal="center" vertical="center"/>
    </x:xf>
    <x:xf numFmtId="203" fontId="5" fillId="5" borderId="5" xfId="0" applyNumberFormat="1" applyFont="1" applyFill="1" applyBorder="1" applyAlignment="1">
      <x:alignment horizontal="center" vertical="center"/>
    </x:xf>
    <x:xf numFmtId="203" fontId="5" fillId="5" borderId="0" xfId="0" applyNumberFormat="1" applyFont="1" applyFill="1" applyBorder="1" applyAlignment="1">
      <x:alignment horizontal="center" vertical="center"/>
    </x:xf>
    <x:xf numFmtId="203" fontId="5" fillId="5" borderId="6" xfId="0" applyNumberFormat="1" applyFont="1" applyFill="1" applyBorder="1" applyAlignment="1">
      <x:alignment horizontal="center" vertical="center"/>
    </x:xf>
    <x:xf numFmtId="203" fontId="5" fillId="5" borderId="7" xfId="0" applyNumberFormat="1" applyFont="1" applyFill="1" applyBorder="1" applyAlignment="1">
      <x:alignment horizontal="center" vertical="center"/>
    </x:xf>
    <x:xf numFmtId="203" fontId="5" fillId="5" borderId="8" xfId="0" applyNumberFormat="1" applyFont="1" applyFill="1" applyBorder="1" applyAlignment="1">
      <x:alignment horizontal="center" vertical="center"/>
    </x:xf>
    <x:xf numFmtId="203" fontId="5" fillId="5" borderId="9" xfId="0" applyNumberFormat="1" applyFont="1" applyFill="1" applyBorder="1" applyAlignment="1">
      <x:alignment horizontal="center" vertical="center"/>
    </x:xf>
    <x:xf numFmtId="203" fontId="5" fillId="5" borderId="10" xfId="0" applyNumberFormat="1" applyFont="1" applyFill="1" applyBorder="1"/>
    <x:xf numFmtId="203" fontId="5" fillId="5" borderId="11" xfId="0" applyNumberFormat="1" applyFont="1" applyFill="1" applyBorder="1"/>
    <x:xf numFmtId="203" fontId="5" fillId="5" borderId="12" xfId="0" applyNumberFormat="1" applyFont="1" applyFill="1" applyBorder="1"/>
    <x:xf numFmtId="203" fontId="5" fillId="5" borderId="13" xfId="0" applyNumberFormat="1" applyFont="1" applyFill="1" applyBorder="1"/>
    <x:xf numFmtId="203" fontId="5" fillId="5" borderId="1" xfId="0" applyNumberFormat="1" applyFont="1" applyFill="1" applyBorder="1"/>
    <x:xf numFmtId="203" fontId="5" fillId="5" borderId="14" xfId="0" applyNumberFormat="1" applyFont="1" applyFill="1" applyBorder="1"/>
    <x:xf numFmtId="203" fontId="5" fillId="5" borderId="15" xfId="0" applyNumberFormat="1" applyFont="1" applyFill="1" applyBorder="1"/>
    <x:xf numFmtId="203" fontId="5" fillId="5" borderId="16" xfId="0" applyNumberFormat="1" applyFont="1" applyFill="1" applyBorder="1"/>
    <x:xf numFmtId="203" fontId="5" fillId="5" borderId="17" xfId="0" applyNumberFormat="1" applyFont="1" applyFill="1" applyBorder="1"/>
    <x:xf numFmtId="203" fontId="5" fillId="5" borderId="10" xfId="0" applyNumberFormat="1" applyFont="1" applyFill="1" applyBorder="1" applyAlignment="1">
      <x:alignment horizontal="center"/>
    </x:xf>
    <x:xf numFmtId="203" fontId="5" fillId="5" borderId="11" xfId="0" applyNumberFormat="1" applyFont="1" applyFill="1" applyBorder="1" applyAlignment="1">
      <x:alignment horizontal="center"/>
    </x:xf>
    <x:xf numFmtId="203" fontId="5" fillId="5" borderId="12" xfId="0" applyNumberFormat="1" applyFont="1" applyFill="1" applyBorder="1" applyAlignment="1">
      <x:alignment horizontal="center"/>
    </x:xf>
    <x:xf numFmtId="203" fontId="5" fillId="5" borderId="13" xfId="0" applyNumberFormat="1" applyFont="1" applyFill="1" applyBorder="1" applyAlignment="1">
      <x:alignment horizontal="center"/>
    </x:xf>
    <x:xf numFmtId="203" fontId="5" fillId="5" borderId="1" xfId="0" applyNumberFormat="1" applyFont="1" applyFill="1" applyBorder="1" applyAlignment="1">
      <x:alignment horizontal="center"/>
    </x:xf>
    <x:xf numFmtId="203" fontId="5" fillId="5" borderId="14" xfId="0" applyNumberFormat="1" applyFont="1" applyFill="1" applyBorder="1" applyAlignment="1">
      <x:alignment horizontal="center"/>
    </x:xf>
    <x:xf numFmtId="203" fontId="5" fillId="5" borderId="15" xfId="0" applyNumberFormat="1" applyFont="1" applyFill="1" applyBorder="1" applyAlignment="1">
      <x:alignment horizontal="center"/>
    </x:xf>
    <x:xf numFmtId="203" fontId="5" fillId="5" borderId="16" xfId="0" applyNumberFormat="1" applyFont="1" applyFill="1" applyBorder="1" applyAlignment="1">
      <x:alignment horizontal="center"/>
    </x:xf>
    <x:xf numFmtId="203" fontId="5" fillId="5" borderId="17" xfId="0" applyNumberFormat="1" applyFont="1" applyFill="1" applyBorder="1" applyAlignment="1">
      <x:alignment horizontal="center"/>
    </x:xf>
    <x:xf numFmtId="203" fontId="5" fillId="5" borderId="10" xfId="0" applyNumberFormat="1" applyFont="1" applyFill="1" applyBorder="1" applyAlignment="1">
      <x:alignment horizontal="center" vertical="center"/>
    </x:xf>
    <x:xf numFmtId="203" fontId="5" fillId="5" borderId="11" xfId="0" applyNumberFormat="1" applyFont="1" applyFill="1" applyBorder="1" applyAlignment="1">
      <x:alignment horizontal="center" vertical="center"/>
    </x:xf>
    <x:xf numFmtId="203" fontId="5" fillId="5" borderId="12" xfId="0" applyNumberFormat="1" applyFont="1" applyFill="1" applyBorder="1" applyAlignment="1">
      <x:alignment horizontal="center" vertical="center"/>
    </x:xf>
    <x:xf numFmtId="203" fontId="5" fillId="5" borderId="13" xfId="0" applyNumberFormat="1" applyFont="1" applyFill="1" applyBorder="1" applyAlignment="1">
      <x:alignment horizontal="center" vertical="center"/>
    </x:xf>
    <x:xf numFmtId="203" fontId="5" fillId="5" borderId="1" xfId="0" applyNumberFormat="1" applyFont="1" applyFill="1" applyBorder="1" applyAlignment="1">
      <x:alignment horizontal="center" vertical="center"/>
    </x:xf>
    <x:xf numFmtId="203" fontId="5" fillId="5" borderId="14" xfId="0" applyNumberFormat="1" applyFont="1" applyFill="1" applyBorder="1" applyAlignment="1">
      <x:alignment horizontal="center" vertical="center"/>
    </x:xf>
    <x:xf numFmtId="203" fontId="5" fillId="5" borderId="15" xfId="0" applyNumberFormat="1" applyFont="1" applyFill="1" applyBorder="1" applyAlignment="1">
      <x:alignment horizontal="center" vertical="center"/>
    </x:xf>
    <x:xf numFmtId="203" fontId="5" fillId="5" borderId="16" xfId="0" applyNumberFormat="1" applyFont="1" applyFill="1" applyBorder="1" applyAlignment="1">
      <x:alignment horizontal="center" vertical="center"/>
    </x:xf>
    <x:xf numFmtId="203" fontId="5" fillId="5" borderId="17" xfId="0" applyNumberFormat="1" applyFont="1" applyFill="1" applyBorder="1" applyAlignment="1">
      <x:alignment horizontal="center" vertical="center"/>
    </x:xf>
    <x:xf numFmtId="204" fontId="5" fillId="5" borderId="2" xfId="0" applyNumberFormat="1" applyFont="1" applyFill="1" applyBorder="1"/>
    <x:xf numFmtId="204" fontId="5" fillId="5" borderId="3" xfId="0" applyNumberFormat="1" applyFont="1" applyFill="1" applyBorder="1"/>
    <x:xf numFmtId="204" fontId="5" fillId="5" borderId="4" xfId="0" applyNumberFormat="1" applyFont="1" applyFill="1" applyBorder="1"/>
    <x:xf numFmtId="204" fontId="5" fillId="5" borderId="5" xfId="0" applyNumberFormat="1" applyFont="1" applyFill="1" applyBorder="1"/>
    <x:xf numFmtId="204" fontId="5" fillId="5" borderId="0" xfId="0" applyNumberFormat="1" applyFont="1" applyFill="1" applyBorder="1"/>
    <x:xf numFmtId="204" fontId="5" fillId="5" borderId="6" xfId="0" applyNumberFormat="1" applyFont="1" applyFill="1" applyBorder="1"/>
    <x:xf numFmtId="204" fontId="5" fillId="5" borderId="7" xfId="0" applyNumberFormat="1" applyFont="1" applyFill="1" applyBorder="1"/>
    <x:xf numFmtId="204" fontId="5" fillId="5" borderId="8" xfId="0" applyNumberFormat="1" applyFont="1" applyFill="1" applyBorder="1"/>
    <x:xf numFmtId="204" fontId="5" fillId="5" borderId="9" xfId="0" applyNumberFormat="1" applyFont="1" applyFill="1" applyBorder="1"/>
    <x:xf numFmtId="204" fontId="5" fillId="5" borderId="2" xfId="0" applyNumberFormat="1" applyFont="1" applyFill="1" applyBorder="1" applyAlignment="1">
      <x:alignment horizontal="center"/>
    </x:xf>
    <x:xf numFmtId="204" fontId="5" fillId="5" borderId="3" xfId="0" applyNumberFormat="1" applyFont="1" applyFill="1" applyBorder="1" applyAlignment="1">
      <x:alignment horizontal="center"/>
    </x:xf>
    <x:xf numFmtId="204" fontId="5" fillId="5" borderId="4" xfId="0" applyNumberFormat="1" applyFont="1" applyFill="1" applyBorder="1" applyAlignment="1">
      <x:alignment horizontal="center"/>
    </x:xf>
    <x:xf numFmtId="204" fontId="5" fillId="5" borderId="5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 applyAlignment="1">
      <x:alignment horizontal="center"/>
    </x:xf>
    <x:xf numFmtId="204" fontId="5" fillId="5" borderId="6" xfId="0" applyNumberFormat="1" applyFont="1" applyFill="1" applyBorder="1" applyAlignment="1">
      <x:alignment horizontal="center"/>
    </x:xf>
    <x:xf numFmtId="204" fontId="5" fillId="5" borderId="7" xfId="0" applyNumberFormat="1" applyFont="1" applyFill="1" applyBorder="1" applyAlignment="1">
      <x:alignment horizontal="center"/>
    </x:xf>
    <x:xf numFmtId="204" fontId="5" fillId="5" borderId="8" xfId="0" applyNumberFormat="1" applyFont="1" applyFill="1" applyBorder="1" applyAlignment="1">
      <x:alignment horizontal="center"/>
    </x:xf>
    <x:xf numFmtId="204" fontId="5" fillId="5" borderId="9" xfId="0" applyNumberFormat="1" applyFont="1" applyFill="1" applyBorder="1" applyAlignment="1">
      <x:alignment horizontal="center"/>
    </x:xf>
    <x:xf numFmtId="204" fontId="5" fillId="5" borderId="2" xfId="0" applyNumberFormat="1" applyFont="1" applyFill="1" applyBorder="1" applyAlignment="1">
      <x:alignment horizontal="center" vertical="center"/>
    </x:xf>
    <x:xf numFmtId="204" fontId="5" fillId="5" borderId="3" xfId="0" applyNumberFormat="1" applyFont="1" applyFill="1" applyBorder="1" applyAlignment="1">
      <x:alignment horizontal="center" vertical="center"/>
    </x:xf>
    <x:xf numFmtId="204" fontId="5" fillId="5" borderId="4" xfId="0" applyNumberFormat="1" applyFont="1" applyFill="1" applyBorder="1" applyAlignment="1">
      <x:alignment horizontal="center" vertical="center"/>
    </x:xf>
    <x:xf numFmtId="204" fontId="5" fillId="5" borderId="5" xfId="0" applyNumberFormat="1" applyFont="1" applyFill="1" applyBorder="1" applyAlignment="1">
      <x:alignment horizontal="center" vertical="center"/>
    </x:xf>
    <x:xf numFmtId="204" fontId="5" fillId="5" borderId="0" xfId="0" applyNumberFormat="1" applyFont="1" applyFill="1" applyBorder="1" applyAlignment="1">
      <x:alignment horizontal="center" vertical="center"/>
    </x:xf>
    <x:xf numFmtId="204" fontId="5" fillId="5" borderId="6" xfId="0" applyNumberFormat="1" applyFont="1" applyFill="1" applyBorder="1" applyAlignment="1">
      <x:alignment horizontal="center" vertical="center"/>
    </x:xf>
    <x:xf numFmtId="204" fontId="5" fillId="5" borderId="7" xfId="0" applyNumberFormat="1" applyFont="1" applyFill="1" applyBorder="1" applyAlignment="1">
      <x:alignment horizontal="center" vertical="center"/>
    </x:xf>
    <x:xf numFmtId="204" fontId="5" fillId="5" borderId="8" xfId="0" applyNumberFormat="1" applyFont="1" applyFill="1" applyBorder="1" applyAlignment="1">
      <x:alignment horizontal="center" vertical="center"/>
    </x:xf>
    <x:xf numFmtId="204" fontId="5" fillId="5" borderId="9" xfId="0" applyNumberFormat="1" applyFont="1" applyFill="1" applyBorder="1" applyAlignment="1">
      <x:alignment horizontal="center" vertical="center"/>
    </x:xf>
    <x:xf numFmtId="204" fontId="5" fillId="5" borderId="10" xfId="0" applyNumberFormat="1" applyFont="1" applyFill="1" applyBorder="1"/>
    <x:xf numFmtId="204" fontId="5" fillId="5" borderId="11" xfId="0" applyNumberFormat="1" applyFont="1" applyFill="1" applyBorder="1"/>
    <x:xf numFmtId="204" fontId="5" fillId="5" borderId="12" xfId="0" applyNumberFormat="1" applyFont="1" applyFill="1" applyBorder="1"/>
    <x:xf numFmtId="204" fontId="5" fillId="5" borderId="13" xfId="0" applyNumberFormat="1" applyFont="1" applyFill="1" applyBorder="1"/>
    <x:xf numFmtId="204" fontId="5" fillId="5" borderId="1" xfId="0" applyNumberFormat="1" applyFont="1" applyFill="1" applyBorder="1"/>
    <x:xf numFmtId="204" fontId="5" fillId="5" borderId="14" xfId="0" applyNumberFormat="1" applyFont="1" applyFill="1" applyBorder="1"/>
    <x:xf numFmtId="204" fontId="5" fillId="5" borderId="15" xfId="0" applyNumberFormat="1" applyFont="1" applyFill="1" applyBorder="1"/>
    <x:xf numFmtId="204" fontId="5" fillId="5" borderId="16" xfId="0" applyNumberFormat="1" applyFont="1" applyFill="1" applyBorder="1"/>
    <x:xf numFmtId="204" fontId="5" fillId="5" borderId="17" xfId="0" applyNumberFormat="1" applyFont="1" applyFill="1" applyBorder="1"/>
    <x:xf numFmtId="204" fontId="5" fillId="5" borderId="10" xfId="0" applyNumberFormat="1" applyFont="1" applyFill="1" applyBorder="1" applyAlignment="1">
      <x:alignment horizontal="center"/>
    </x:xf>
    <x:xf numFmtId="204" fontId="5" fillId="5" borderId="11" xfId="0" applyNumberFormat="1" applyFont="1" applyFill="1" applyBorder="1" applyAlignment="1">
      <x:alignment horizontal="center"/>
    </x:xf>
    <x:xf numFmtId="204" fontId="5" fillId="5" borderId="12" xfId="0" applyNumberFormat="1" applyFont="1" applyFill="1" applyBorder="1" applyAlignment="1">
      <x:alignment horizontal="center"/>
    </x:xf>
    <x:xf numFmtId="204" fontId="5" fillId="5" borderId="13" xfId="0" applyNumberFormat="1" applyFont="1" applyFill="1" applyBorder="1" applyAlignment="1">
      <x:alignment horizontal="center"/>
    </x:xf>
    <x:xf numFmtId="204" fontId="5" fillId="5" borderId="1" xfId="0" applyNumberFormat="1" applyFont="1" applyFill="1" applyBorder="1" applyAlignment="1">
      <x:alignment horizontal="center"/>
    </x:xf>
    <x:xf numFmtId="204" fontId="5" fillId="5" borderId="14" xfId="0" applyNumberFormat="1" applyFont="1" applyFill="1" applyBorder="1" applyAlignment="1">
      <x:alignment horizontal="center"/>
    </x:xf>
    <x:xf numFmtId="204" fontId="5" fillId="5" borderId="15" xfId="0" applyNumberFormat="1" applyFont="1" applyFill="1" applyBorder="1" applyAlignment="1">
      <x:alignment horizontal="center"/>
    </x:xf>
    <x:xf numFmtId="204" fontId="5" fillId="5" borderId="16" xfId="0" applyNumberFormat="1" applyFont="1" applyFill="1" applyBorder="1" applyAlignment="1">
      <x:alignment horizontal="center"/>
    </x:xf>
    <x:xf numFmtId="204" fontId="5" fillId="5" borderId="17" xfId="0" applyNumberFormat="1" applyFont="1" applyFill="1" applyBorder="1" applyAlignment="1">
      <x:alignment horizontal="center"/>
    </x:xf>
    <x:xf numFmtId="204" fontId="5" fillId="5" borderId="10" xfId="0" applyNumberFormat="1" applyFont="1" applyFill="1" applyBorder="1" applyAlignment="1">
      <x:alignment horizontal="center" vertical="center"/>
    </x:xf>
    <x:xf numFmtId="204" fontId="5" fillId="5" borderId="11" xfId="0" applyNumberFormat="1" applyFont="1" applyFill="1" applyBorder="1" applyAlignment="1">
      <x:alignment horizontal="center" vertical="center"/>
    </x:xf>
    <x:xf numFmtId="204" fontId="5" fillId="5" borderId="12" xfId="0" applyNumberFormat="1" applyFont="1" applyFill="1" applyBorder="1" applyAlignment="1">
      <x:alignment horizontal="center" vertical="center"/>
    </x:xf>
    <x:xf numFmtId="204" fontId="5" fillId="5" borderId="13" xfId="0" applyNumberFormat="1" applyFont="1" applyFill="1" applyBorder="1" applyAlignment="1">
      <x:alignment horizontal="center" vertical="center"/>
    </x:xf>
    <x:xf numFmtId="204" fontId="5" fillId="5" borderId="1" xfId="0" applyNumberFormat="1" applyFont="1" applyFill="1" applyBorder="1" applyAlignment="1">
      <x:alignment horizontal="center" vertical="center"/>
    </x:xf>
    <x:xf numFmtId="204" fontId="5" fillId="5" borderId="14" xfId="0" applyNumberFormat="1" applyFont="1" applyFill="1" applyBorder="1" applyAlignment="1">
      <x:alignment horizontal="center" vertical="center"/>
    </x:xf>
    <x:xf numFmtId="204" fontId="5" fillId="5" borderId="15" xfId="0" applyNumberFormat="1" applyFont="1" applyFill="1" applyBorder="1" applyAlignment="1">
      <x:alignment horizontal="center" vertical="center"/>
    </x:xf>
    <x:xf numFmtId="204" fontId="5" fillId="5" borderId="16" xfId="0" applyNumberFormat="1" applyFont="1" applyFill="1" applyBorder="1" applyAlignment="1">
      <x:alignment horizontal="center" vertical="center"/>
    </x:xf>
    <x:xf numFmtId="204" fontId="5" fillId="5" borderId="1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5" fontId="4" fillId="0" borderId="0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9C2E2E"/>
      </x:font>
      <x:fill>
        <x:patternFill patternType="solid">
          <x:bgColor rgb="FFFCE2E0"/>
        </x:patternFill>
      </x:fill>
    </x:dxf>
    <x:dxf>
      <x:font>
        <x:b/>
        <x:color rgb="FF8A6500"/>
      </x:font>
      <x:fill>
        <x:patternFill patternType="solid">
          <x:bgColor rgb="FFFFF2CC"/>
        </x:patternFill>
      </x:fill>
    </x:dxf>
    <x:dxf>
      <x:font>
        <x:b/>
        <x:color rgb="FF2F6B3F"/>
      </x:font>
      <x:fill>
        <x:patternFill patternType="solid">
          <x:bgColor rgb="FFDDEFE2"/>
        </x:patternFill>
      </x:fill>
    </x:dxf>
    <x:dxf>
      <x:font>
        <x:b/>
        <x:color rgb="FF9C2E2E"/>
      </x:font>
      <x:fill>
        <x:patternFill patternType="solid">
          <x:bgColor rgb="FFFCE2E0"/>
        </x:patternFill>
      </x:fill>
    </x:dxf>
    <x:dxf>
      <x:font>
        <x:b/>
        <x:color rgb="FF9C2E2E"/>
      </x:font>
      <x:fill>
        <x:patternFill patternType="solid">
          <x:bgColor rgb="FFFCE2E0"/>
        </x:patternFill>
      </x:fill>
    </x:dxf>
    <x:dxf>
      <x:font>
        <x:b/>
        <x:color rgb="FF2F6B3F"/>
      </x:font>
      <x:fill>
        <x:patternFill patternType="solid">
          <x:bgColor rgb="FFDDEFE2"/>
        </x:patternFill>
      </x:fill>
    </x:dxf>
    <x:dxf>
      <x:font>
        <x:b/>
        <x:color rgb="FF8A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5d7840f6e418c" /><Relationship Type="http://schemas.openxmlformats.org/officeDocument/2006/relationships/theme" Target="/xl/theme/theme1.xml" Id="Rc57bdfa0fb3d4ff9" /><Relationship Type="http://schemas.openxmlformats.org/officeDocument/2006/relationships/sharedStrings" Target="/xl/sharedStrings.xml" Id="Rcc27c165f1ae43d4" /><Relationship Type="http://schemas.openxmlformats.org/officeDocument/2006/relationships/worksheet" Target="/xl/worksheets/sheet1.xml" Id="Rbefd977767b74049" /><Relationship Type="http://schemas.openxmlformats.org/officeDocument/2006/relationships/worksheet" Target="/xl/worksheets/sheet2.xml" Id="R17a6b979be204d0f" /><Relationship Type="http://schemas.openxmlformats.org/officeDocument/2006/relationships/worksheet" Target="/xl/worksheets/sheet3.xml" Id="Reeaa246808c34bcc" /><Relationship Type="http://schemas.openxmlformats.org/officeDocument/2006/relationships/worksheet" Target="/xl/worksheets/sheet4.xml" Id="Rd706e3000ab24fa8" /><Relationship Type="http://schemas.openxmlformats.org/officeDocument/2006/relationships/worksheet" Target="/xl/worksheets/sheet5.xml" Id="R75607fef6a19424f" /><Relationship Type="http://schemas.openxmlformats.org/officeDocument/2006/relationships/worksheet" Target="/xl/worksheets/sheet6.xml" Id="R7097426c1b73445c" /><Relationship Type="http://schemas.openxmlformats.org/officeDocument/2006/relationships/worksheet" Target="/xl/worksheets/sheet7.xml" Id="R58ef1c0206bc4ec8" /><Relationship Type="http://schemas.openxmlformats.org/officeDocument/2006/relationships/worksheet" Target="/xl/worksheets/sheet8.xml" Id="R706df34da53b4884" /><Relationship Type="http://schemas.openxmlformats.org/officeDocument/2006/relationships/worksheet" Target="/xl/worksheets/sheet9.xml" Id="R1ece01b728bf42ad" /><Relationship Type="http://schemas.openxmlformats.org/officeDocument/2006/relationships/worksheet" Target="/xl/worksheets/sheet10.xml" Id="R43c54382f6844ee1" /><Relationship Type="http://schemas.openxmlformats.org/officeDocument/2006/relationships/worksheet" Target="/xl/worksheets/sheet11.xml" Id="Rbbfa54718bb245fa" /><Relationship Type="http://schemas.openxmlformats.org/officeDocument/2006/relationships/worksheet" Target="/xl/worksheets/sheet12.xml" Id="R44f5d744a76c44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39cb02abd94b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Complete</c:v>
          </c:tx>
          <c:cat>
            <c:strRef>
              <c:f>'Executive_Summary'!$B$19</c:f>
              <c:strCache>
                <c:ptCount val="0"/>
              </c:strCache>
            </c:strRef>
          </c:cat>
          <c:val>
            <c:numRef>
              <c:f>'Executive_Summary'!$C$19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 Progress</c:v>
          </c:tx>
          <c:cat>
            <c:strRef>
              <c:f>'Executive_Summary'!$B$19</c:f>
              <c:strCache>
                <c:ptCount val="0"/>
              </c:strCache>
            </c:strRef>
          </c:cat>
          <c:val>
            <c:numRef>
              <c:f>'Executive_Summary'!$D$19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Blocked</c:v>
          </c:tx>
          <c:cat>
            <c:strRef>
              <c:f>'Executive_Summary'!$B$19</c:f>
              <c:strCache>
                <c:ptCount val="0"/>
              </c:strCache>
            </c:strRef>
          </c:cat>
          <c:val>
            <c:numRef>
              <c:f>'Executive_Summary'!$E$19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39cb02abd94b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TargetsTable" displayName="KPITargetsTable" ref="A4:J16" headerRowCount="1">
  <x:tableColumns count="10">
    <x:tableColumn id="1" name="KPI ID"/>
    <x:tableColumn id="2" name="KPI"/>
    <x:tableColumn id="3" name="Baseline"/>
    <x:tableColumn id="4" name="90-Day Target"/>
    <x:tableColumn id="5" name="180-Day Target"/>
    <x:tableColumn id="6" name="Direction"/>
    <x:tableColumn id="7" name="Yellow Limit"/>
    <x:tableColumn id="8" name="Red Limit"/>
    <x:tableColumn id="9" name="Owner"/>
    <x:tableColumn id="10" name="Measurement"/>
  </x:tableColumns>
  <x:tableStyleInfo name="TableStyleMedium2" showRowStripes="1"/>
</x:table>
</file>

<file path=xl/tables/table2.xml><?xml version="1.0" encoding="utf-8"?>
<x:table xmlns:x="http://schemas.openxmlformats.org/spreadsheetml/2006/main" id="2" name="ExecutiveActionStatus" displayName="ExecutiveActionStatus" ref="A18:F19" headerRowCount="1">
  <x:tableColumns count="6">
    <x:tableColumn id="1" name="Action Portfolio"/>
    <x:tableColumn id="2" name="Total"/>
    <x:tableColumn id="3" name="Complete"/>
    <x:tableColumn id="4" name="In Progress"/>
    <x:tableColumn id="5" name="Blocked"/>
    <x:tableColumn id="6" name="Completion %"/>
  </x:tableColumns>
  <x:tableStyleInfo name="TableStyleMedium2" showRowStripes="1"/>
</x:table>
</file>

<file path=xl/tables/table3.xml><?xml version="1.0" encoding="utf-8"?>
<x:table xmlns:x="http://schemas.openxmlformats.org/spreadsheetml/2006/main" id="3" name="ExecutiveOutcomesTable" displayName="ExecutiveOutcomesTable" ref="A22:F27" headerRowCount="1">
  <x:tableColumns count="6">
    <x:tableColumn id="1" name="Priority Outcomes"/>
    <x:tableColumn id="2" name="30 Days"/>
    <x:tableColumn id="3" name="60 Days"/>
    <x:tableColumn id="4" name="90 Days"/>
    <x:tableColumn id="5" name="Owner"/>
    <x:tableColumn id="6" name="Success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RoadmapTable" displayName="RoadmapTable" ref="A4:H13" headerRowCount="1">
  <x:tableColumns count="8">
    <x:tableColumn id="1" name="Window"/>
    <x:tableColumn id="2" name="Objective"/>
    <x:tableColumn id="3" name="Key Activities"/>
    <x:tableColumn id="4" name="Primary Owner"/>
    <x:tableColumn id="5" name="Deliverable"/>
    <x:tableColumn id="6" name="Decision Gate"/>
    <x:tableColumn id="7" name="Dependencies"/>
    <x:tableColumn id="8" name="Success Measure"/>
  </x:tableColumns>
  <x:tableStyleInfo name="TableStyleMedium2" showRowStripes="1"/>
</x:table>
</file>

<file path=xl/tables/table5.xml><?xml version="1.0" encoding="utf-8"?>
<x:table xmlns:x="http://schemas.openxmlformats.org/spreadsheetml/2006/main" id="5" name="ActionRegisterTable" displayName="ActionRegisterTable" ref="A5:L21" headerRowCount="1">
  <x:tableColumns count="12">
    <x:tableColumn id="1" name="Action ID"/>
    <x:tableColumn id="2" name="Workstream"/>
    <x:tableColumn id="3" name="Action"/>
    <x:tableColumn id="4" name="Business Rationale"/>
    <x:tableColumn id="5" name="Priority"/>
    <x:tableColumn id="6" name="Owner"/>
    <x:tableColumn id="7" name="Start Window"/>
    <x:tableColumn id="8" name="Due Window"/>
    <x:tableColumn id="9" name="Evidence"/>
    <x:tableColumn id="10" name="KPI Link"/>
    <x:tableColumn id="11" name="Status"/>
    <x:tableColumn id="1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GovernanceCadenceTable" displayName="GovernanceCadenceTable" ref="A5:I13" headerRowCount="1">
  <x:tableColumns count="9">
    <x:tableColumn id="1" name="Forum"/>
    <x:tableColumn id="2" name="Cadence"/>
    <x:tableColumn id="3" name="Chair"/>
    <x:tableColumn id="4" name="Required Participants"/>
    <x:tableColumn id="5" name="Purpose"/>
    <x:tableColumn id="6" name="Inputs"/>
    <x:tableColumn id="7" name="Outputs"/>
    <x:tableColumn id="8" name="Escalation Trigger"/>
    <x:tableColumn id="9" name="Timebox"/>
  </x:tableColumns>
  <x:tableStyleInfo name="TableStyleMedium2" showRowStripes="1"/>
</x:table>
</file>

<file path=xl/tables/table7.xml><?xml version="1.0" encoding="utf-8"?>
<x:table xmlns:x="http://schemas.openxmlformats.org/spreadsheetml/2006/main" id="7" name="Top10ActionsTable" displayName="Top10ActionsTable" ref="A5:N15" headerRowCount="1">
  <x:tableColumns count="14">
    <x:tableColumn id="1" name="Rank"/>
    <x:tableColumn id="2" name="Project ID"/>
    <x:tableColumn id="3" name="Project"/>
    <x:tableColumn id="4" name="Risk Score"/>
    <x:tableColumn id="5" name="Health"/>
    <x:tableColumn id="6" name="Avg RFI Days"/>
    <x:tableColumn id="7" name="Avg Approval Days"/>
    <x:tableColumn id="8" name="Pending / Budget"/>
    <x:tableColumn id="9" name="Primary Trigger"/>
    <x:tableColumn id="10" name="Immediate Action"/>
    <x:tableColumn id="11" name="Owner"/>
    <x:tableColumn id="12" name="Due Window"/>
    <x:tableColumn id="13" name="Status"/>
    <x:tableColumn id="14" name="Success Evidence"/>
  </x:tableColumns>
  <x:tableStyleInfo name="TableStyleMedium2" showRowStripes="1"/>
</x:table>
</file>

<file path=xl/tables/table8.xml><?xml version="1.0" encoding="utf-8"?>
<x:table xmlns:x="http://schemas.openxmlformats.org/spreadsheetml/2006/main" id="8" name="ControlStandardsTable" displayName="ControlStandardsTable" ref="A5:H14" headerRowCount="1">
  <x:tableColumns count="8">
    <x:tableColumn id="1" name="Control ID"/>
    <x:tableColumn id="2" name="Control"/>
    <x:tableColumn id="3" name="Standard"/>
    <x:tableColumn id="4" name="Owner"/>
    <x:tableColumn id="5" name="Evidence"/>
    <x:tableColumn id="6" name="Exception"/>
    <x:tableColumn id="7" name="Escalation"/>
    <x:tableColumn id="8" name="Review Frequency"/>
  </x:tableColumns>
  <x:tableStyleInfo name="TableStyleMedium2" showRowStripes="1"/>
</x:table>
</file>

<file path=xl/tables/table9.xml><?xml version="1.0" encoding="utf-8"?>
<x:table xmlns:x="http://schemas.openxmlformats.org/spreadsheetml/2006/main" id="9" name="AutomationAlertsTable" displayName="AutomationAlertsTable" ref="A5:I13" headerRowCount="1">
  <x:tableColumns count="9">
    <x:tableColumn id="1" name="Alert ID"/>
    <x:tableColumn id="2" name="Condition"/>
    <x:tableColumn id="3" name="Frequency"/>
    <x:tableColumn id="4" name="Audience"/>
    <x:tableColumn id="5" name="Source"/>
    <x:tableColumn id="6" name="Output"/>
    <x:tableColumn id="7" name="Severity"/>
    <x:tableColumn id="8" name="Suppression / Deduplication"/>
    <x:tableColumn id="9" name="Action"/>
  </x:tableColumns>
  <x:tableStyleInfo name="TableStyleMedium2" showRowStripes="1"/>
</x:table>
</file>

<file path=xl/tables/table10.xml><?xml version="1.0" encoding="utf-8"?>
<x:table xmlns:x="http://schemas.openxmlformats.org/spreadsheetml/2006/main" id="10" name="RACITable" displayName="RACITable" ref="A5:I15" headerRowCount="1">
  <x:tableColumns count="9">
    <x:tableColumn id="1" name="Activity"/>
    <x:tableColumn id="2" name="Executive Sponsor"/>
    <x:tableColumn id="3" name="Project Manager"/>
    <x:tableColumn id="4" name="Project Controls Lead"/>
    <x:tableColumn id="5" name="Design Manager"/>
    <x:tableColumn id="6" name="Change Manager"/>
    <x:tableColumn id="7" name="Owner Representative"/>
    <x:tableColumn id="8" name="Data Analyst"/>
    <x:tableColumn id="9" name="Superintendent"/>
  </x:tableColumns>
  <x:tableStyleInfo name="TableStyleMedium2" showRowStripes="1"/>
</x:table>
</file>

<file path=xl/tables/table11.xml><?xml version="1.0" encoding="utf-8"?>
<x:table xmlns:x="http://schemas.openxmlformats.org/spreadsheetml/2006/main" id="11" name="BenefitsTrackingTable" displayName="BenefitsTrackingTable" ref="A5:K13" headerRowCount="1">
  <x:tableColumns count="11">
    <x:tableColumn id="1" name="Benefit ID"/>
    <x:tableColumn id="2" name="Measure"/>
    <x:tableColumn id="3" name="Baseline"/>
    <x:tableColumn id="4" name="30-Day Actual"/>
    <x:tableColumn id="5" name="60-Day Actual"/>
    <x:tableColumn id="6" name="90-Day Actual"/>
    <x:tableColumn id="7" name="90-Day Target"/>
    <x:tableColumn id="8" name="Variance to Target"/>
    <x:tableColumn id="9" name="Status"/>
    <x:tableColumn id="10" name="Owner"/>
    <x:tableColumn id="11" name="Evidence"/>
  </x:tableColumns>
  <x:tableStyleInfo name="TableStyleMedium2" showRowStripes="1"/>
</x:table>
</file>

<file path=xl/tables/table12.xml><?xml version="1.0" encoding="utf-8"?>
<x:table xmlns:x="http://schemas.openxmlformats.org/spreadsheetml/2006/main" id="12" name="ActSourcesTable" displayName="ActSourcesTable" ref="A5:D15" headerRowCount="1">
  <x:tableColumns count="4">
    <x:tableColumn id="1" name="Source Type"/>
    <x:tableColumn id="2" name="Source"/>
    <x:tableColumn id="3" name="Location / URL"/>
    <x:tableColumn id="4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572684b66c4a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51d59cb5c384118" /><Relationship Type="http://schemas.openxmlformats.org/officeDocument/2006/relationships/table" Target="/xl/tables/table2.xml" Id="R6f0de41502854b71" /><Relationship Type="http://schemas.openxmlformats.org/officeDocument/2006/relationships/table" Target="/xl/tables/table3.xml" Id="R10fa634d3c9e4c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4aff0c993043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6d1c1569754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7fba615281241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6f924e9ac684c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a35854f4ea749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db5fd795d7c4a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21aab20a66d4c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7385de08c6e42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e79b5a06972462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Owner Role</x:v>
      </x:c>
      <x:c r="D1" t="str">
        <x:v>Cadence</x:v>
      </x:c>
    </x:row>
    <x:row r="2">
      <x:c r="A2" t="str">
        <x:v>Not Started</x:v>
      </x:c>
      <x:c r="B2" t="str">
        <x:v>Critical</x:v>
      </x:c>
      <x:c r="C2" t="str">
        <x:v>Executive Sponsor</x:v>
      </x:c>
      <x:c r="D2" t="str">
        <x:v>Daily</x:v>
      </x:c>
    </x:row>
    <x:row r="3">
      <x:c r="A3" t="str">
        <x:v>In Progress</x:v>
      </x:c>
      <x:c r="B3" t="str">
        <x:v>High</x:v>
      </x:c>
      <x:c r="C3" t="str">
        <x:v>Project Manager</x:v>
      </x:c>
      <x:c r="D3" t="str">
        <x:v>Twice Weekly</x:v>
      </x:c>
    </x:row>
    <x:row r="4">
      <x:c r="A4" t="str">
        <x:v>Blocked</x:v>
      </x:c>
      <x:c r="B4" t="str">
        <x:v>Medium</x:v>
      </x:c>
      <x:c r="C4" t="str">
        <x:v>Project Controls Lead</x:v>
      </x:c>
      <x:c r="D4" t="str">
        <x:v>Weekly</x:v>
      </x:c>
    </x:row>
    <x:row r="5">
      <x:c r="A5" t="str">
        <x:v>Complete</x:v>
      </x:c>
      <x:c r="B5" t="str">
        <x:v>Low</x:v>
      </x:c>
      <x:c r="C5" t="str">
        <x:v>Design Manager</x:v>
      </x:c>
      <x:c r="D5" t="str">
        <x:v>Monthly</x:v>
      </x:c>
    </x:row>
    <x:row r="6">
      <x:c r="A6" t="str">
        <x:v>Deferred</x:v>
      </x:c>
      <x:c r="C6" t="str">
        <x:v>Change Manager</x:v>
      </x:c>
      <x:c r="D6" t="str">
        <x:v>Quarterly</x:v>
      </x:c>
    </x:row>
    <x:row r="7">
      <x:c r="C7" t="str">
        <x:v>Data Analyst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</x:cols>
  <x:sheetData>
    <x:row r="1" ht="32" customHeight="1">
      <x:c r="A1" s="5" t="str">
        <x:v>KPI Baselines, Targets, and Control Limits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Targets are case-study management objectives, not universal construction-industry standards.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22" t="str">
        <x:v>KPI ID</x:v>
      </x:c>
      <x:c r="B4" s="22" t="str">
        <x:v>KPI</x:v>
      </x:c>
      <x:c r="C4" s="22" t="str">
        <x:v>Baseline</x:v>
      </x:c>
      <x:c r="D4" s="22" t="str">
        <x:v>90-Day Target</x:v>
      </x:c>
      <x:c r="E4" s="22" t="str">
        <x:v>180-Day Target</x:v>
      </x:c>
      <x:c r="F4" s="22" t="str">
        <x:v>Direction</x:v>
      </x:c>
      <x:c r="G4" s="22" t="str">
        <x:v>Yellow Limit</x:v>
      </x:c>
      <x:c r="H4" s="22" t="str">
        <x:v>Red Limit</x:v>
      </x:c>
      <x:c r="I4" s="22" t="str">
        <x:v>Owner</x:v>
      </x:c>
      <x:c r="J4" s="22" t="str">
        <x:v>Measurement</x:v>
      </x:c>
    </x:row>
    <x:row r="5">
      <x:c r="A5" s="30" t="str">
        <x:v>KPI-01</x:v>
      </x:c>
      <x:c r="B5" s="30" t="str">
        <x:v>RFI on-time rate</x:v>
      </x:c>
      <x:c r="C5" s="34" t="n">
        <x:v>0.4568</x:v>
      </x:c>
      <x:c r="D5" s="34" t="n">
        <x:v>0.7</x:v>
      </x:c>
      <x:c r="E5" s="34" t="n">
        <x:v>0.8</x:v>
      </x:c>
      <x:c r="F5" s="30" t="str">
        <x:v>Higher</x:v>
      </x:c>
      <x:c r="G5" s="34" t="n">
        <x:v>0.6</x:v>
      </x:c>
      <x:c r="H5" s="34" t="n">
        <x:v>0.5</x:v>
      </x:c>
      <x:c r="I5" s="30" t="str">
        <x:v>Design Manager</x:v>
      </x:c>
      <x:c r="J5" s="30" t="str">
        <x:v>Weekly</x:v>
      </x:c>
    </x:row>
    <x:row r="6">
      <x:c r="A6" s="30" t="str">
        <x:v>KPI-02</x:v>
      </x:c>
      <x:c r="B6" s="30" t="str">
        <x:v>Average RFI response days</x:v>
      </x:c>
      <x:c r="C6" s="30" t="n">
        <x:v>12.21</x:v>
      </x:c>
      <x:c r="D6" s="30" t="n">
        <x:v>10</x:v>
      </x:c>
      <x:c r="E6" s="30" t="n">
        <x:v>8</x:v>
      </x:c>
      <x:c r="F6" s="30" t="str">
        <x:v>Lower</x:v>
      </x:c>
      <x:c r="G6" s="30" t="n">
        <x:v>12</x:v>
      </x:c>
      <x:c r="H6" s="30" t="n">
        <x:v>15</x:v>
      </x:c>
      <x:c r="I6" s="30" t="str">
        <x:v>Design Manager</x:v>
      </x:c>
      <x:c r="J6" s="30" t="str">
        <x:v>Weekly</x:v>
      </x:c>
    </x:row>
    <x:row r="7">
      <x:c r="A7" s="30" t="str">
        <x:v>KPI-03</x:v>
      </x:c>
      <x:c r="B7" s="30" t="str">
        <x:v>Average change approval days</x:v>
      </x:c>
      <x:c r="C7" s="30" t="n">
        <x:v>28.91</x:v>
      </x:c>
      <x:c r="D7" s="30" t="n">
        <x:v>24</x:v>
      </x:c>
      <x:c r="E7" s="30" t="n">
        <x:v>20</x:v>
      </x:c>
      <x:c r="F7" s="30" t="str">
        <x:v>Lower</x:v>
      </x:c>
      <x:c r="G7" s="30" t="n">
        <x:v>28</x:v>
      </x:c>
      <x:c r="H7" s="30" t="n">
        <x:v>35</x:v>
      </x:c>
      <x:c r="I7" s="30" t="str">
        <x:v>Change Manager</x:v>
      </x:c>
      <x:c r="J7" s="30" t="str">
        <x:v>Weekly</x:v>
      </x:c>
    </x:row>
    <x:row r="8">
      <x:c r="A8" s="30" t="str">
        <x:v>KPI-04</x:v>
      </x:c>
      <x:c r="B8" s="30" t="str">
        <x:v>Pending change exposure</x:v>
      </x:c>
      <x:c r="C8" s="36" t="n">
        <x:v>88104000</x:v>
      </x:c>
      <x:c r="D8" s="36" t="n">
        <x:v>66078000</x:v>
      </x:c>
      <x:c r="E8" s="36" t="n">
        <x:v>52862400</x:v>
      </x:c>
      <x:c r="F8" s="30" t="str">
        <x:v>Lower</x:v>
      </x:c>
      <x:c r="G8" s="36" t="n">
        <x:v>74888400</x:v>
      </x:c>
      <x:c r="H8" s="36" t="n">
        <x:v>88104000</x:v>
      </x:c>
      <x:c r="I8" s="30" t="str">
        <x:v>Change Manager</x:v>
      </x:c>
      <x:c r="J8" s="30" t="str">
        <x:v>Weekly</x:v>
      </x:c>
    </x:row>
    <x:row r="9">
      <x:c r="A9" s="30" t="str">
        <x:v>KPI-05</x:v>
      </x:c>
      <x:c r="B9" s="30" t="str">
        <x:v>Overdue open RFIs</x:v>
      </x:c>
      <x:c r="C9" s="30" t="n">
        <x:v>295</x:v>
      </x:c>
      <x:c r="D9" s="30" t="n">
        <x:v>148</x:v>
      </x:c>
      <x:c r="E9" s="30" t="n">
        <x:v>75</x:v>
      </x:c>
      <x:c r="F9" s="30" t="str">
        <x:v>Lower</x:v>
      </x:c>
      <x:c r="G9" s="30" t="n">
        <x:v>220</x:v>
      </x:c>
      <x:c r="H9" s="30" t="n">
        <x:v>295</x:v>
      </x:c>
      <x:c r="I9" s="30" t="str">
        <x:v>Design Manager</x:v>
      </x:c>
      <x:c r="J9" s="30" t="str">
        <x:v>Twice Weekly</x:v>
      </x:c>
    </x:row>
    <x:row r="10">
      <x:c r="A10" s="30" t="str">
        <x:v>KPI-06</x:v>
      </x:c>
      <x:c r="B10" s="30" t="str">
        <x:v>Forecast incorporation lag days</x:v>
      </x:c>
      <x:c r="C10" s="30" t="n">
        <x:v>6.58</x:v>
      </x:c>
      <x:c r="D10" s="30" t="n">
        <x:v>5</x:v>
      </x:c>
      <x:c r="E10" s="30" t="n">
        <x:v>3</x:v>
      </x:c>
      <x:c r="F10" s="30" t="str">
        <x:v>Lower</x:v>
      </x:c>
      <x:c r="G10" s="30" t="n">
        <x:v>7</x:v>
      </x:c>
      <x:c r="H10" s="30" t="n">
        <x:v>10</x:v>
      </x:c>
      <x:c r="I10" s="30" t="str">
        <x:v>Project Controls Lead</x:v>
      </x:c>
      <x:c r="J10" s="30" t="str">
        <x:v>Weekly</x:v>
      </x:c>
    </x:row>
    <x:row r="11">
      <x:c r="A11" s="30" t="str">
        <x:v>KPI-07</x:v>
      </x:c>
      <x:c r="B11" s="30" t="str">
        <x:v>Old pending changes &gt;35 days</x:v>
      </x:c>
      <x:c r="C11" s="30" t="n">
        <x:v>219</x:v>
      </x:c>
      <x:c r="D11" s="30" t="n">
        <x:v>131</x:v>
      </x:c>
      <x:c r="E11" s="30" t="n">
        <x:v>88</x:v>
      </x:c>
      <x:c r="F11" s="30" t="str">
        <x:v>Lower</x:v>
      </x:c>
      <x:c r="G11" s="30" t="n">
        <x:v>175</x:v>
      </x:c>
      <x:c r="H11" s="30" t="n">
        <x:v>219</x:v>
      </x:c>
      <x:c r="I11" s="30" t="str">
        <x:v>Change Manager</x:v>
      </x:c>
      <x:c r="J11" s="30" t="str">
        <x:v>Weekly</x:v>
      </x:c>
    </x:row>
    <x:row r="12">
      <x:c r="A12" s="30" t="str">
        <x:v>KPI-08</x:v>
      </x:c>
      <x:c r="B12" s="30" t="str">
        <x:v>Approved changes not incorporated</x:v>
      </x:c>
      <x:c r="C12" s="30" t="n">
        <x:v>56</x:v>
      </x:c>
      <x:c r="D12" s="30" t="n">
        <x:v>10</x:v>
      </x:c>
      <x:c r="E12" s="30" t="n">
        <x:v>0</x:v>
      </x:c>
      <x:c r="F12" s="30" t="str">
        <x:v>Lower</x:v>
      </x:c>
      <x:c r="G12" s="30" t="n">
        <x:v>25</x:v>
      </x:c>
      <x:c r="H12" s="30" t="n">
        <x:v>56</x:v>
      </x:c>
      <x:c r="I12" s="30" t="str">
        <x:v>Project Controls Lead</x:v>
      </x:c>
      <x:c r="J12" s="30" t="str">
        <x:v>Weekly</x:v>
      </x:c>
    </x:row>
    <x:row r="13">
      <x:c r="A13" s="30" t="str">
        <x:v>KPI-09</x:v>
      </x:c>
      <x:c r="B13" s="30" t="str">
        <x:v>Red projects</x:v>
      </x:c>
      <x:c r="C13" s="30" t="n">
        <x:v>29</x:v>
      </x:c>
      <x:c r="D13" s="30" t="n">
        <x:v>18</x:v>
      </x:c>
      <x:c r="E13" s="30" t="n">
        <x:v>10</x:v>
      </x:c>
      <x:c r="F13" s="30" t="str">
        <x:v>Lower</x:v>
      </x:c>
      <x:c r="G13" s="30" t="n">
        <x:v>23</x:v>
      </x:c>
      <x:c r="H13" s="30" t="n">
        <x:v>29</x:v>
      </x:c>
      <x:c r="I13" s="30" t="str">
        <x:v>Executive Sponsor</x:v>
      </x:c>
      <x:c r="J13" s="30" t="str">
        <x:v>Weekly</x:v>
      </x:c>
    </x:row>
    <x:row r="14">
      <x:c r="A14" s="30" t="str">
        <x:v>KPI-10</x:v>
      </x:c>
      <x:c r="B14" s="30" t="str">
        <x:v>Green projects</x:v>
      </x:c>
      <x:c r="C14" s="30" t="n">
        <x:v>13</x:v>
      </x:c>
      <x:c r="D14" s="30" t="n">
        <x:v>22</x:v>
      </x:c>
      <x:c r="E14" s="30" t="n">
        <x:v>30</x:v>
      </x:c>
      <x:c r="F14" s="30" t="str">
        <x:v>Higher</x:v>
      </x:c>
      <x:c r="G14" s="30" t="n">
        <x:v>18</x:v>
      </x:c>
      <x:c r="H14" s="30" t="n">
        <x:v>13</x:v>
      </x:c>
      <x:c r="I14" s="30" t="str">
        <x:v>Executive Sponsor</x:v>
      </x:c>
      <x:c r="J14" s="30" t="str">
        <x:v>Weekly</x:v>
      </x:c>
    </x:row>
    <x:row r="15">
      <x:c r="A15" s="30" t="str">
        <x:v>KPI-11</x:v>
      </x:c>
      <x:c r="B15" s="30" t="str">
        <x:v>Top-10 project action closure rate</x:v>
      </x:c>
      <x:c r="C15" s="34" t="n">
        <x:v>0</x:v>
      </x:c>
      <x:c r="D15" s="34" t="n">
        <x:v>0.75</x:v>
      </x:c>
      <x:c r="E15" s="34" t="n">
        <x:v>0.9</x:v>
      </x:c>
      <x:c r="F15" s="30" t="str">
        <x:v>Higher</x:v>
      </x:c>
      <x:c r="G15" s="30" t="n">
        <x:v>0.5</x:v>
      </x:c>
      <x:c r="H15" s="30" t="n">
        <x:v>0.25</x:v>
      </x:c>
      <x:c r="I15" s="30" t="str">
        <x:v>Project Manager</x:v>
      </x:c>
      <x:c r="J15" s="30" t="str">
        <x:v>Weekly</x:v>
      </x:c>
    </x:row>
    <x:row r="16">
      <x:c r="A16" s="30" t="str">
        <x:v>KPI-12</x:v>
      </x:c>
      <x:c r="B16" s="30" t="str">
        <x:v>Revision-loop reduction in flagged projects</x:v>
      </x:c>
      <x:c r="C16" s="34" t="n">
        <x:v>0</x:v>
      </x:c>
      <x:c r="D16" s="34" t="n">
        <x:v>0.2</x:v>
      </x:c>
      <x:c r="E16" s="34" t="n">
        <x:v>0.35</x:v>
      </x:c>
      <x:c r="F16" s="30" t="str">
        <x:v>Higher</x:v>
      </x:c>
      <x:c r="G16" s="30" t="n">
        <x:v>0.1</x:v>
      </x:c>
      <x:c r="H16" s="30" t="n">
        <x:v>0</x:v>
      </x:c>
      <x:c r="I16" s="30" t="str">
        <x:v>Design Manager</x:v>
      </x:c>
      <x:c r="J16" s="30" t="str">
        <x:v>Monthly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53572684b66c4a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38" hidden="0" customWidth="1"/>
    <x:col min="7" max="7" width="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" hidden="0" customWidth="1"/>
    <x:col min="14" max="14" width="4" hidden="0" customWidth="1"/>
  </x:cols>
  <x:sheetData>
    <x:row r="1" ht="32" customHeight="1">
      <x:c r="A1" s="5" t="str">
        <x:v>Construction Change Order and RFI Analytics — Act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Management operating plan for workflow recovery, accountability, governance, KPI targets, and continuous improvement. All projects and records are synthetic.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5">
      <x:c r="A5" s="66" t="n">
        <x:f>'KPI_Targets'!C5</x:f>
        <x:v>0.4568</x:v>
      </x:c>
      <x:c r="B5" s="67"/>
      <x:c r="C5" s="68"/>
      <x:c r="D5" s="66" t="n">
        <x:f>'KPI_Targets'!D5</x:f>
        <x:v>0.7</x:v>
      </x:c>
      <x:c r="E5" s="67"/>
      <x:c r="F5" s="68"/>
      <x:c r="G5" s="138" t="n">
        <x:f>'KPI_Targets'!C7</x:f>
        <x:v>28.91</x:v>
      </x:c>
      <x:c r="H5" s="139"/>
      <x:c r="I5" s="140"/>
      <x:c r="J5" s="138" t="n">
        <x:f>'KPI_Targets'!D7</x:f>
        <x:v>24</x:v>
      </x:c>
      <x:c r="K5" s="139"/>
      <x:c r="L5" s="140"/>
    </x:row>
    <x:row r="6">
      <x:c r="A6" s="69"/>
      <x:c r="B6" s="70"/>
      <x:c r="C6" s="71"/>
      <x:c r="D6" s="69"/>
      <x:c r="E6" s="70"/>
      <x:c r="F6" s="71"/>
      <x:c r="G6" s="141"/>
      <x:c r="H6" s="142"/>
      <x:c r="I6" s="143"/>
      <x:c r="J6" s="141"/>
      <x:c r="K6" s="142"/>
      <x:c r="L6" s="143"/>
    </x:row>
    <x:row r="7">
      <x:c r="A7" s="69"/>
      <x:c r="B7" s="70"/>
      <x:c r="C7" s="71"/>
      <x:c r="D7" s="69"/>
      <x:c r="E7" s="70"/>
      <x:c r="F7" s="71"/>
      <x:c r="G7" s="141"/>
      <x:c r="H7" s="142"/>
      <x:c r="I7" s="143"/>
      <x:c r="J7" s="141"/>
      <x:c r="K7" s="142"/>
      <x:c r="L7" s="143"/>
    </x:row>
    <x:row r="8">
      <x:c r="A8" s="72"/>
      <x:c r="B8" s="73"/>
      <x:c r="C8" s="74"/>
      <x:c r="D8" s="72"/>
      <x:c r="E8" s="73"/>
      <x:c r="F8" s="74"/>
      <x:c r="G8" s="144"/>
      <x:c r="H8" s="145"/>
      <x:c r="I8" s="146"/>
      <x:c r="J8" s="144"/>
      <x:c r="K8" s="145"/>
      <x:c r="L8" s="146"/>
    </x:row>
    <x:row r="9">
      <x:c r="A9" s="115" t="str">
        <x:v>Current RFI On-Time</x:v>
      </x:c>
      <x:c r="B9" s="115"/>
      <x:c r="C9" s="115"/>
      <x:c r="D9" s="115" t="str">
        <x:v>90-Day RFI Target</x:v>
      </x:c>
      <x:c r="E9" s="115"/>
      <x:c r="F9" s="115"/>
      <x:c r="G9" s="115" t="str">
        <x:v>Current Approval Cycle</x:v>
      </x:c>
      <x:c r="H9" s="115"/>
      <x:c r="I9" s="115"/>
      <x:c r="J9" s="115" t="str">
        <x:v>90-Day Approval Target</x:v>
      </x:c>
      <x:c r="K9" s="115"/>
      <x:c r="L9" s="115"/>
    </x:row>
    <x:row r="11">
      <x:c r="A11" s="192" t="n">
        <x:f>'KPI_Targets'!C8</x:f>
        <x:v>88104000</x:v>
      </x:c>
      <x:c r="B11" s="193"/>
      <x:c r="C11" s="194"/>
      <x:c r="D11" s="192" t="n">
        <x:f>'KPI_Targets'!D8</x:f>
        <x:v>66078000</x:v>
      </x:c>
      <x:c r="E11" s="193"/>
      <x:c r="F11" s="194"/>
      <x:c r="G11" s="246" t="n">
        <x:f>'KPI_Targets'!C13</x:f>
        <x:v>29</x:v>
      </x:c>
      <x:c r="H11" s="247"/>
      <x:c r="I11" s="248"/>
      <x:c r="J11" s="246" t="n">
        <x:f>'KPI_Targets'!D13</x:f>
        <x:v>18</x:v>
      </x:c>
      <x:c r="K11" s="247"/>
      <x:c r="L11" s="248"/>
    </x:row>
    <x:row r="12">
      <x:c r="A12" s="195"/>
      <x:c r="B12" s="196"/>
      <x:c r="C12" s="197"/>
      <x:c r="D12" s="195"/>
      <x:c r="E12" s="196"/>
      <x:c r="F12" s="197"/>
      <x:c r="G12" s="249"/>
      <x:c r="H12" s="250"/>
      <x:c r="I12" s="251"/>
      <x:c r="J12" s="249"/>
      <x:c r="K12" s="250"/>
      <x:c r="L12" s="251"/>
    </x:row>
    <x:row r="13">
      <x:c r="A13" s="195"/>
      <x:c r="B13" s="196"/>
      <x:c r="C13" s="197"/>
      <x:c r="D13" s="195"/>
      <x:c r="E13" s="196"/>
      <x:c r="F13" s="197"/>
      <x:c r="G13" s="249"/>
      <x:c r="H13" s="250"/>
      <x:c r="I13" s="251"/>
      <x:c r="J13" s="249"/>
      <x:c r="K13" s="250"/>
      <x:c r="L13" s="251"/>
    </x:row>
    <x:row r="14">
      <x:c r="A14" s="198"/>
      <x:c r="B14" s="199"/>
      <x:c r="C14" s="200"/>
      <x:c r="D14" s="198"/>
      <x:c r="E14" s="199"/>
      <x:c r="F14" s="200"/>
      <x:c r="G14" s="252"/>
      <x:c r="H14" s="253"/>
      <x:c r="I14" s="254"/>
      <x:c r="J14" s="252"/>
      <x:c r="K14" s="253"/>
      <x:c r="L14" s="254"/>
    </x:row>
    <x:row r="15">
      <x:c r="A15" s="115" t="str">
        <x:v>Current Pending Exposure</x:v>
      </x:c>
      <x:c r="B15" s="115"/>
      <x:c r="C15" s="115"/>
      <x:c r="D15" s="115" t="str">
        <x:v>90-Day Exposure Target</x:v>
      </x:c>
      <x:c r="E15" s="115"/>
      <x:c r="F15" s="115"/>
      <x:c r="G15" s="115" t="str">
        <x:v>Current Red Projects</x:v>
      </x:c>
      <x:c r="H15" s="115"/>
      <x:c r="I15" s="115"/>
      <x:c r="J15" s="115" t="str">
        <x:v>90-Day Red Target</x:v>
      </x:c>
      <x:c r="K15" s="115"/>
      <x:c r="L15" s="115"/>
    </x:row>
    <x:row r="18">
      <x:c r="A18" s="22" t="str">
        <x:v>Action Portfolio</x:v>
      </x:c>
      <x:c r="B18" s="22" t="str">
        <x:v>Total</x:v>
      </x:c>
      <x:c r="C18" s="22" t="str">
        <x:v>Complete</x:v>
      </x:c>
      <x:c r="D18" s="22" t="str">
        <x:v>In Progress</x:v>
      </x:c>
      <x:c r="E18" s="22" t="str">
        <x:v>Blocked</x:v>
      </x:c>
      <x:c r="F18" s="22" t="str">
        <x:v>Completion %</x:v>
      </x:c>
    </x:row>
    <x:row r="19">
      <x:c r="A19" t="str">
        <x:v>Act actions</x:v>
      </x:c>
      <x:c r="B19" t="n">
        <x:f>COUNTA(Action_Register!A6:A21)</x:f>
        <x:v>16</x:v>
      </x:c>
      <x:c r="C19" t="n">
        <x:f>COUNTIF(Action_Register!K6:K21,"Complete")</x:f>
        <x:v>0</x:v>
      </x:c>
      <x:c r="D19" t="n">
        <x:f>COUNTIF(Action_Register!K6:K21,"In Progress")</x:f>
        <x:v>0</x:v>
      </x:c>
      <x:c r="E19" t="n">
        <x:f>COUNTIF(Action_Register!K6:K21,"Blocked")</x:f>
        <x:v>0</x:v>
      </x:c>
      <x:c r="F19" s="282" t="n">
        <x:f>IF(B19=0,0,C19/B19)</x:f>
        <x:v>0</x:v>
      </x:c>
    </x:row>
    <x:row r="22">
      <x:c r="A22" s="22" t="str">
        <x:v>Priority Outcomes</x:v>
      </x:c>
      <x:c r="B22" s="22" t="str">
        <x:v>30 Days</x:v>
      </x:c>
      <x:c r="C22" s="22" t="str">
        <x:v>60 Days</x:v>
      </x:c>
      <x:c r="D22" s="22" t="str">
        <x:v>90 Days</x:v>
      </x:c>
      <x:c r="E22" s="22" t="str">
        <x:v>Owner</x:v>
      </x:c>
      <x:c r="F22" s="22" t="str">
        <x:v>Success Evidence</x:v>
      </x:c>
    </x:row>
    <x:row r="23">
      <x:c r="A23" s="30" t="str">
        <x:v>Stabilize critical RFI backlog</x:v>
      </x:c>
      <x:c r="B23" s="30" t="str">
        <x:v>All High/Critical overdue items assigned</x:v>
      </x:c>
      <x:c r="C23" s="30" t="str">
        <x:v>Backlog trend declining</x:v>
      </x:c>
      <x:c r="D23" s="30" t="str">
        <x:v>No High/Critical RFI &gt;7 days</x:v>
      </x:c>
      <x:c r="E23" s="30" t="str">
        <x:v>Design Manager</x:v>
      </x:c>
      <x:c r="F23" s="30" t="str">
        <x:v>Exception report</x:v>
      </x:c>
    </x:row>
    <x:row r="24">
      <x:c r="A24" s="30" t="str">
        <x:v>Reduce pending commercial exposure</x:v>
      </x:c>
      <x:c r="B24" s="30" t="str">
        <x:v>Top 10 project reviews launched</x:v>
      </x:c>
      <x:c r="C24" s="30" t="str">
        <x:v>Old pending changes reduced</x:v>
      </x:c>
      <x:c r="D24" s="30" t="str">
        <x:v>Pending exposure ≤$66.1M</x:v>
      </x:c>
      <x:c r="E24" s="30" t="str">
        <x:v>Change Manager</x:v>
      </x:c>
      <x:c r="F24" s="30" t="str">
        <x:v>Change aging report</x:v>
      </x:c>
    </x:row>
    <x:row r="25">
      <x:c r="A25" s="30" t="str">
        <x:v>Improve decision cycle</x:v>
      </x:c>
      <x:c r="B25" s="30" t="str">
        <x:v>Weekly decision board active</x:v>
      </x:c>
      <x:c r="C25" s="30" t="str">
        <x:v>Average cycle ≤26 days</x:v>
      </x:c>
      <x:c r="D25" s="30" t="str">
        <x:v>Average cycle ≤24 days</x:v>
      </x:c>
      <x:c r="E25" s="30" t="str">
        <x:v>Project Controls Lead</x:v>
      </x:c>
      <x:c r="F25" s="30" t="str">
        <x:v>Cycle-time trend</x:v>
      </x:c>
    </x:row>
    <x:row r="26">
      <x:c r="A26" s="30" t="str">
        <x:v>Restore forecast discipline</x:v>
      </x:c>
      <x:c r="B26" s="30" t="str">
        <x:v>Approved items reconciled</x:v>
      </x:c>
      <x:c r="C26" s="30" t="str">
        <x:v>Lag ≤6 days</x:v>
      </x:c>
      <x:c r="D26" s="30" t="str">
        <x:v>Lag ≤5 days; ≤10 missing</x:v>
      </x:c>
      <x:c r="E26" s="30" t="str">
        <x:v>Project Controls Lead</x:v>
      </x:c>
      <x:c r="F26" s="30" t="str">
        <x:v>Forecast reconciliation</x:v>
      </x:c>
    </x:row>
    <x:row r="27">
      <x:c r="A27" s="30" t="str">
        <x:v>Improve workflow health</x:v>
      </x:c>
      <x:c r="B27" s="30" t="str">
        <x:v>29 Red projects baselined</x:v>
      </x:c>
      <x:c r="C27" s="30" t="str">
        <x:v>Red projects ≤23</x:v>
      </x:c>
      <x:c r="D27" s="30" t="str">
        <x:v>Red projects ≤18</x:v>
      </x:c>
      <x:c r="E27" s="30" t="str">
        <x:v>Executive Sponsor</x:v>
      </x:c>
      <x:c r="F27" s="30" t="str">
        <x:v>Health dashboard</x:v>
      </x:c>
    </x:row>
    <x:row r="31">
      <x:c r="A31" s="13" t="str">
        <x:v>Lifecycle terminology: Act aligns with Deployment in CRISP-DM; Improve and Control in DMAIC; Deployment and Customer Acceptance in Microsoft's data-science lifecycle; and Executing, Monitoring and Controlling, transition, and Closing in PMI governance terminology.</x:v>
      </x:c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</x:sheetData>
  <x:mergeCells>
    <x:mergeCell ref="A1:N1"/>
    <x:mergeCell ref="A2:N3"/>
    <x:mergeCell ref="A5:C8"/>
    <x:mergeCell ref="A9:C9"/>
    <x:mergeCell ref="D5:F8"/>
    <x:mergeCell ref="D9:F9"/>
    <x:mergeCell ref="G5:I8"/>
    <x:mergeCell ref="G9:I9"/>
    <x:mergeCell ref="J5:L8"/>
    <x:mergeCell ref="J9:L9"/>
    <x:mergeCell ref="A11:C14"/>
    <x:mergeCell ref="A15:C15"/>
    <x:mergeCell ref="D11:F14"/>
    <x:mergeCell ref="D15:F15"/>
    <x:mergeCell ref="G11:I14"/>
    <x:mergeCell ref="G15:I15"/>
    <x:mergeCell ref="J11:L14"/>
    <x:mergeCell ref="J15:L15"/>
    <x:mergeCell ref="A31:N34"/>
  </x:mergeCells>
  <x:pageMargins left="0.7" right="0.7" top="0.75" bottom="0.75" header="0.3" footer="0.3"/>
  <x:drawing xmlns:r="http://schemas.openxmlformats.org/officeDocument/2006/relationships" r:id="R551d59cb5c384118"/>
  <x:tableParts count="2">
    <x:tablePart xmlns:r="http://schemas.openxmlformats.org/officeDocument/2006/relationships" r:id="R6f0de41502854b71"/>
    <x:tablePart xmlns:r="http://schemas.openxmlformats.org/officeDocument/2006/relationships" r:id="R10fa634d3c9e4c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64" hidden="0" customWidth="1"/>
    <x:col min="4" max="4" width="28" hidden="0" customWidth="1"/>
    <x:col min="5" max="5" width="30" hidden="0" customWidth="1"/>
    <x:col min="6" max="6" width="30" hidden="0" customWidth="1"/>
    <x:col min="7" max="7" width="32" hidden="0" customWidth="1"/>
    <x:col min="8" max="8" width="30" hidden="0" customWidth="1"/>
  </x:cols>
  <x:sheetData>
    <x:row r="1" ht="32" customHeight="1">
      <x:c r="A1" s="5" t="str">
        <x:v>30/60/90-Day Implementation Roadmap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Sequenced implementation from stabilization to control and continuous improvement.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22" t="str">
        <x:v>Window</x:v>
      </x:c>
      <x:c r="B4" s="22" t="str">
        <x:v>Objective</x:v>
      </x:c>
      <x:c r="C4" s="22" t="str">
        <x:v>Key Activities</x:v>
      </x:c>
      <x:c r="D4" s="22" t="str">
        <x:v>Primary Owner</x:v>
      </x:c>
      <x:c r="E4" s="22" t="str">
        <x:v>Deliverable</x:v>
      </x:c>
      <x:c r="F4" s="22" t="str">
        <x:v>Decision Gate</x:v>
      </x:c>
      <x:c r="G4" s="22" t="str">
        <x:v>Dependencies</x:v>
      </x:c>
      <x:c r="H4" s="22" t="str">
        <x:v>Success Measure</x:v>
      </x:c>
    </x:row>
    <x:row r="5" ht="52" customHeight="1">
      <x:c r="A5" s="30" t="str">
        <x:v>Days 0–30</x:v>
      </x:c>
      <x:c r="B5" s="30" t="str">
        <x:v>Stabilize exceptions</x:v>
      </x:c>
      <x:c r="C5" s="30" t="str">
        <x:v>Launch top-10 project triage; assign all High/Critical overdue RFIs; validate old pending changes; reconcile approved changes not incorporated; establish weekly boards.</x:v>
      </x:c>
      <x:c r="D5" s="30" t="str">
        <x:v>Project Controls Lead</x:v>
      </x:c>
      <x:c r="E5" s="30" t="str">
        <x:v>Validated exception register</x:v>
      </x:c>
      <x:c r="F5" s="30" t="str">
        <x:v>Executive sponsor approves priorities</x:v>
      </x:c>
      <x:c r="G5" s="30" t="str">
        <x:v>Accurate project ownership and current status</x:v>
      </x:c>
      <x:c r="H5" s="30" t="str">
        <x:v>100% top-10 projects reviewed</x:v>
      </x:c>
    </x:row>
    <x:row r="6" ht="52" customHeight="1">
      <x:c r="A6" s="30" t="str">
        <x:v>Days 0–30</x:v>
      </x:c>
      <x:c r="B6" s="30" t="str">
        <x:v>Establish governance</x:v>
      </x:c>
      <x:c r="C6" s="30" t="str">
        <x:v>Publish RFI response standards; create change approval calendar; define escalation matrix; confirm dashboard owners.</x:v>
      </x:c>
      <x:c r="D6" s="30" t="str">
        <x:v>Executive Sponsor</x:v>
      </x:c>
      <x:c r="E6" s="30" t="str">
        <x:v>Governance charter</x:v>
      </x:c>
      <x:c r="F6" s="30" t="str">
        <x:v>Owners accept responsibilities</x:v>
      </x:c>
      <x:c r="G6" s="30" t="str">
        <x:v>Leadership participation</x:v>
      </x:c>
      <x:c r="H6" s="30" t="str">
        <x:v>All recurring meetings active</x:v>
      </x:c>
    </x:row>
    <x:row r="7" ht="52" customHeight="1">
      <x:c r="A7" s="30" t="str">
        <x:v>Days 31–60</x:v>
      </x:c>
      <x:c r="B7" s="30" t="str">
        <x:v>Reduce backlog</x:v>
      </x:c>
      <x:c r="C7" s="30" t="str">
        <x:v>Run discipline backlog sprints; close invalid or obsolete items; negotiate oldest pending changes; track forecast incorporation.</x:v>
      </x:c>
      <x:c r="D7" s="30" t="str">
        <x:v>Design Manager / Change Manager</x:v>
      </x:c>
      <x:c r="E7" s="30" t="str">
        <x:v>Backlog reduction report</x:v>
      </x:c>
      <x:c r="F7" s="30" t="str">
        <x:v>Trend must improve for two consecutive weeks</x:v>
      </x:c>
      <x:c r="G7" s="30" t="str">
        <x:v>Timely decisions and pricing</x:v>
      </x:c>
      <x:c r="H7" s="30" t="str">
        <x:v>Overdue RFIs and old pending changes declining</x:v>
      </x:c>
    </x:row>
    <x:row r="8" ht="52" customHeight="1">
      <x:c r="A8" s="30" t="str">
        <x:v>Days 31–60</x:v>
      </x:c>
      <x:c r="B8" s="30" t="str">
        <x:v>Improve workflow quality</x:v>
      </x:c>
      <x:c r="C8" s="30" t="str">
        <x:v>Introduce RFI submission quality checklist; commercial package completeness gate; track revision loops by project and discipline.</x:v>
      </x:c>
      <x:c r="D8" s="30" t="str">
        <x:v>Design Manager</x:v>
      </x:c>
      <x:c r="E8" s="30" t="str">
        <x:v>Quality-gate checklist</x:v>
      </x:c>
      <x:c r="F8" s="30" t="str">
        <x:v>Pilot projects meet adoption target</x:v>
      </x:c>
      <x:c r="G8" s="30" t="str">
        <x:v>Training and templates</x:v>
      </x:c>
      <x:c r="H8" s="30" t="str">
        <x:v>Revision loops reduced in pilot</x:v>
      </x:c>
    </x:row>
    <x:row r="9" ht="52" customHeight="1">
      <x:c r="A9" s="30" t="str">
        <x:v>Days 31–60</x:v>
      </x:c>
      <x:c r="B9" s="30" t="str">
        <x:v>Pilot digital coordination</x:v>
      </x:c>
      <x:c r="C9" s="30" t="str">
        <x:v>Select Low digital-coordination projects; use model coordination and structured issue review before RFI submission.</x:v>
      </x:c>
      <x:c r="D9" s="30" t="str">
        <x:v>Design Manager</x:v>
      </x:c>
      <x:c r="E9" s="30" t="str">
        <x:v>Pilot evaluation</x:v>
      </x:c>
      <x:c r="F9" s="30" t="str">
        <x:v>Continue only if cycle time improves</x:v>
      </x:c>
      <x:c r="G9" s="30" t="str">
        <x:v>BIM/design-team participation</x:v>
      </x:c>
      <x:c r="H9" s="30" t="str">
        <x:v>Pilot response time improves</x:v>
      </x:c>
    </x:row>
    <x:row r="10" ht="52" customHeight="1">
      <x:c r="A10" s="30" t="str">
        <x:v>Days 61–90</x:v>
      </x:c>
      <x:c r="B10" s="30" t="str">
        <x:v>Standardize control</x:v>
      </x:c>
      <x:c r="C10" s="30" t="str">
        <x:v>Embed KPI targets into weekly project-controls reporting; automate alerts; add executive exception narrative.</x:v>
      </x:c>
      <x:c r="D10" s="30" t="str">
        <x:v>Project Controls Lead</x:v>
      </x:c>
      <x:c r="E10" s="30" t="str">
        <x:v>Controlled reporting package</x:v>
      </x:c>
      <x:c r="F10" s="30" t="str">
        <x:v>Executive acceptance</x:v>
      </x:c>
      <x:c r="G10" s="30" t="str">
        <x:v>Stable data refresh</x:v>
      </x:c>
      <x:c r="H10" s="30" t="str">
        <x:v>KPI package issued on schedule</x:v>
      </x:c>
    </x:row>
    <x:row r="11" ht="52" customHeight="1">
      <x:c r="A11" s="30" t="str">
        <x:v>Days 61–90</x:v>
      </x:c>
      <x:c r="B11" s="30" t="str">
        <x:v>Close management gaps</x:v>
      </x:c>
      <x:c r="C11" s="30" t="str">
        <x:v>Complete corrective actions for priority projects; confirm owners, residual risks, and unresolved decisions.</x:v>
      </x:c>
      <x:c r="D11" s="30" t="str">
        <x:v>Project Manager</x:v>
      </x:c>
      <x:c r="E11" s="30" t="str">
        <x:v>Priority-project closure report</x:v>
      </x:c>
      <x:c r="F11" s="30" t="str">
        <x:v>Residual risks accepted or escalated</x:v>
      </x:c>
      <x:c r="G11" s="30" t="str">
        <x:v>Owner and design decisions</x:v>
      </x:c>
      <x:c r="H11" s="30" t="str">
        <x:v>≥75% top-10 action closure</x:v>
      </x:c>
    </x:row>
    <x:row r="12" ht="52" customHeight="1">
      <x:c r="A12" s="30" t="str">
        <x:v>Days 61–90</x:v>
      </x:c>
      <x:c r="B12" s="30" t="str">
        <x:v>Benefits review</x:v>
      </x:c>
      <x:c r="C12" s="30" t="str">
        <x:v>Compare baseline to 90-day targets; document benefits, limitations, and next-quarter priorities.</x:v>
      </x:c>
      <x:c r="D12" s="30" t="str">
        <x:v>Data Analyst</x:v>
      </x:c>
      <x:c r="E12" s="30" t="str">
        <x:v>Benefits realization report</x:v>
      </x:c>
      <x:c r="F12" s="30" t="str">
        <x:v>Approve next-quarter plan</x:v>
      </x:c>
      <x:c r="G12" s="30" t="str">
        <x:v>Reliable metric history</x:v>
      </x:c>
      <x:c r="H12" s="30" t="str">
        <x:v>Target gaps quantified</x:v>
      </x:c>
    </x:row>
    <x:row r="13" ht="52" customHeight="1">
      <x:c r="A13" s="30" t="str">
        <x:v>Days 91–180</x:v>
      </x:c>
      <x:c r="B13" s="30" t="str">
        <x:v>Sustain and optimize</x:v>
      </x:c>
      <x:c r="C13" s="30" t="str">
        <x:v>Continue monthly root-cause reviews; expand successful pilots; recalibrate thresholds where justified.</x:v>
      </x:c>
      <x:c r="D13" s="30" t="str">
        <x:v>Executive Sponsor</x:v>
      </x:c>
      <x:c r="E13" s="30" t="str">
        <x:v>Continuous-improvement backlog</x:v>
      </x:c>
      <x:c r="F13" s="30" t="str">
        <x:v>Quarterly governance review</x:v>
      </x:c>
      <x:c r="G13" s="30" t="str">
        <x:v>Sufficient history</x:v>
      </x:c>
      <x:c r="H13" s="30" t="str">
        <x:v>180-day targets tracked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924aff0c993043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14" hidden="0" customWidth="1"/>
    <x:col min="8" max="8" width="14" hidden="0" customWidth="1"/>
    <x:col min="9" max="9" width="30" hidden="0" customWidth="1"/>
    <x:col min="10" max="10" width="22" hidden="0" customWidth="1"/>
    <x:col min="11" max="11" width="16" hidden="0" customWidth="1"/>
    <x:col min="12" max="12" width="30" hidden="0" customWidth="1"/>
  </x:cols>
  <x:sheetData>
    <x:row r="1" ht="32" customHeight="1">
      <x:c r="A1" s="5" t="str">
        <x:v>Management Action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The register assigns owners, implementation windows, evidence, and measurable success criteria.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5">
      <x:c r="A5" s="22" t="str">
        <x:v>Action ID</x:v>
      </x:c>
      <x:c r="B5" s="22" t="str">
        <x:v>Workstream</x:v>
      </x:c>
      <x:c r="C5" s="22" t="str">
        <x:v>Action</x:v>
      </x:c>
      <x:c r="D5" s="22" t="str">
        <x:v>Business Rationale</x:v>
      </x:c>
      <x:c r="E5" s="22" t="str">
        <x:v>Priority</x:v>
      </x:c>
      <x:c r="F5" s="22" t="str">
        <x:v>Owner</x:v>
      </x:c>
      <x:c r="G5" s="22" t="str">
        <x:v>Start Window</x:v>
      </x:c>
      <x:c r="H5" s="22" t="str">
        <x:v>Due Window</x:v>
      </x:c>
      <x:c r="I5" s="22" t="str">
        <x:v>Evidence</x:v>
      </x:c>
      <x:c r="J5" s="22" t="str">
        <x:v>KPI Link</x:v>
      </x:c>
      <x:c r="K5" s="22" t="str">
        <x:v>Status</x:v>
      </x:c>
      <x:c r="L5" s="22" t="str">
        <x:v>Notes</x:v>
      </x:c>
    </x:row>
    <x:row r="6" ht="50" customHeight="1">
      <x:c r="A6" s="30" t="str">
        <x:v>ACT-001</x:v>
      </x:c>
      <x:c r="B6" s="30" t="str">
        <x:v>Project triage</x:v>
      </x:c>
      <x:c r="C6" s="30" t="str">
        <x:v>Conduct structured review of all 29 Red projects, beginning with the top 10 priority projects.</x:v>
      </x:c>
      <x:c r="D6" s="30" t="str">
        <x:v>Risk is concentrated and requires project-specific validation.</x:v>
      </x:c>
      <x:c r="E6" s="30" t="str">
        <x:v>Critical</x:v>
      </x:c>
      <x:c r="F6" s="30" t="str">
        <x:v>Project Controls Lead</x:v>
      </x:c>
      <x:c r="G6" s="30" t="str">
        <x:v>Day 1</x:v>
      </x:c>
      <x:c r="H6" s="30" t="str">
        <x:v>Day 15</x:v>
      </x:c>
      <x:c r="I6" s="30" t="str">
        <x:v>Signed review record</x:v>
      </x:c>
      <x:c r="J6" s="30" t="str">
        <x:v>KPI-09</x:v>
      </x:c>
      <x:c r="K6" s="30" t="str">
        <x:v>Not Started</x:v>
      </x:c>
      <x:c r="L6" s="30" t="str"/>
    </x:row>
    <x:row r="7" ht="50" customHeight="1">
      <x:c r="A7" s="30" t="str">
        <x:v>ACT-002</x:v>
      </x:c>
      <x:c r="B7" s="30" t="str">
        <x:v>RFI backlog</x:v>
      </x:c>
      <x:c r="C7" s="30" t="str">
        <x:v>Assign and escalate every High/Critical overdue RFI; no item may remain unowned.</x:v>
      </x:c>
      <x:c r="D7" s="30" t="str">
        <x:v>Overdue critical decisions can delay field work and create downstream changes.</x:v>
      </x:c>
      <x:c r="E7" s="30" t="str">
        <x:v>Critical</x:v>
      </x:c>
      <x:c r="F7" s="30" t="str">
        <x:v>Design Manager</x:v>
      </x:c>
      <x:c r="G7" s="30" t="str">
        <x:v>Day 1</x:v>
      </x:c>
      <x:c r="H7" s="30" t="str">
        <x:v>Day 10</x:v>
      </x:c>
      <x:c r="I7" s="30" t="str">
        <x:v>Exception register</x:v>
      </x:c>
      <x:c r="J7" s="30" t="str">
        <x:v>KPI-05</x:v>
      </x:c>
      <x:c r="K7" s="30" t="str">
        <x:v>Not Started</x:v>
      </x:c>
      <x:c r="L7" s="30" t="str"/>
    </x:row>
    <x:row r="8" ht="50" customHeight="1">
      <x:c r="A8" s="30" t="str">
        <x:v>ACT-003</x:v>
      </x:c>
      <x:c r="B8" s="30" t="str">
        <x:v>RFI standards</x:v>
      </x:c>
      <x:c r="C8" s="30" t="str">
        <x:v>Adopt response standards: Critical 3 days, High 5 days, Medium 10 days, Low 14 days.</x:v>
      </x:c>
      <x:c r="D8" s="30" t="str">
        <x:v>Current on-time rate is 45.7%.</x:v>
      </x:c>
      <x:c r="E8" s="30" t="str">
        <x:v>High</x:v>
      </x:c>
      <x:c r="F8" s="30" t="str">
        <x:v>Design Manager</x:v>
      </x:c>
      <x:c r="G8" s="30" t="str">
        <x:v>Day 1</x:v>
      </x:c>
      <x:c r="H8" s="30" t="str">
        <x:v>Day 20</x:v>
      </x:c>
      <x:c r="I8" s="30" t="str">
        <x:v>Published service-level standard</x:v>
      </x:c>
      <x:c r="J8" s="30" t="str">
        <x:v>KPI-01; KPI-02</x:v>
      </x:c>
      <x:c r="K8" s="30" t="str">
        <x:v>Not Started</x:v>
      </x:c>
      <x:c r="L8" s="30" t="str"/>
    </x:row>
    <x:row r="9" ht="50" customHeight="1">
      <x:c r="A9" s="30" t="str">
        <x:v>ACT-004</x:v>
      </x:c>
      <x:c r="B9" s="30" t="str">
        <x:v>Change aging</x:v>
      </x:c>
      <x:c r="C9" s="30" t="str">
        <x:v>Create a weekly aging board for all Submitted, Under Review, and Pending changes.</x:v>
      </x:c>
      <x:c r="D9" s="30" t="str">
        <x:v>Pending exposure is $88.10M and 219 changes are older than 35 days.</x:v>
      </x:c>
      <x:c r="E9" s="30" t="str">
        <x:v>Critical</x:v>
      </x:c>
      <x:c r="F9" s="30" t="str">
        <x:v>Change Manager</x:v>
      </x:c>
      <x:c r="G9" s="30" t="str">
        <x:v>Day 1</x:v>
      </x:c>
      <x:c r="H9" s="30" t="str">
        <x:v>Day 7</x:v>
      </x:c>
      <x:c r="I9" s="30" t="str">
        <x:v>Weekly aging report</x:v>
      </x:c>
      <x:c r="J9" s="30" t="str">
        <x:v>KPI-04; KPI-07</x:v>
      </x:c>
      <x:c r="K9" s="30" t="str">
        <x:v>Not Started</x:v>
      </x:c>
      <x:c r="L9" s="30" t="str"/>
    </x:row>
    <x:row r="10" ht="50" customHeight="1">
      <x:c r="A10" s="30" t="str">
        <x:v>ACT-005</x:v>
      </x:c>
      <x:c r="B10" s="30" t="str">
        <x:v>Decision calendar</x:v>
      </x:c>
      <x:c r="C10" s="30" t="str">
        <x:v>Reserve recurring owner-decision sessions with required approvers and pre-read deadlines.</x:v>
      </x:c>
      <x:c r="D10" s="30" t="str">
        <x:v>Slow decision profiles underperform in both workflows.</x:v>
      </x:c>
      <x:c r="E10" s="30" t="str">
        <x:v>High</x:v>
      </x:c>
      <x:c r="F10" s="30" t="str">
        <x:v>Executive Sponsor</x:v>
      </x:c>
      <x:c r="G10" s="30" t="str">
        <x:v>Day 1</x:v>
      </x:c>
      <x:c r="H10" s="30" t="str">
        <x:v>Day 14</x:v>
      </x:c>
      <x:c r="I10" s="30" t="str">
        <x:v>Standing calendar</x:v>
      </x:c>
      <x:c r="J10" s="30" t="str">
        <x:v>KPI-03</x:v>
      </x:c>
      <x:c r="K10" s="30" t="str">
        <x:v>Not Started</x:v>
      </x:c>
      <x:c r="L10" s="30" t="str"/>
    </x:row>
    <x:row r="11" ht="50" customHeight="1">
      <x:c r="A11" s="30" t="str">
        <x:v>ACT-006</x:v>
      </x:c>
      <x:c r="B11" s="30" t="str">
        <x:v>Forecast incorporation</x:v>
      </x:c>
      <x:c r="C11" s="30" t="str">
        <x:v>Reconcile all approved changes and incorporate them into project forecasts within five business days.</x:v>
      </x:c>
      <x:c r="D11" s="30" t="str">
        <x:v>56 approved changes were not observed as incorporated.</x:v>
      </x:c>
      <x:c r="E11" s="30" t="str">
        <x:v>Critical</x:v>
      </x:c>
      <x:c r="F11" s="30" t="str">
        <x:v>Project Controls Lead</x:v>
      </x:c>
      <x:c r="G11" s="30" t="str">
        <x:v>Day 1</x:v>
      </x:c>
      <x:c r="H11" s="30" t="str">
        <x:v>Day 30</x:v>
      </x:c>
      <x:c r="I11" s="30" t="str">
        <x:v>Forecast reconciliation log</x:v>
      </x:c>
      <x:c r="J11" s="30" t="str">
        <x:v>KPI-06; KPI-08</x:v>
      </x:c>
      <x:c r="K11" s="30" t="str">
        <x:v>Not Started</x:v>
      </x:c>
      <x:c r="L11" s="30" t="str"/>
    </x:row>
    <x:row r="12" ht="50" customHeight="1">
      <x:c r="A12" s="30" t="str">
        <x:v>ACT-007</x:v>
      </x:c>
      <x:c r="B12" s="30" t="str">
        <x:v>RFI quality gate</x:v>
      </x:c>
      <x:c r="C12" s="30" t="str">
        <x:v>Require scope, location, drawing references, impact statement, and proposed response path before submission.</x:v>
      </x:c>
      <x:c r="D12" s="30" t="str">
        <x:v>Revision loops are associated with longer response cycles.</x:v>
      </x:c>
      <x:c r="E12" s="30" t="str">
        <x:v>High</x:v>
      </x:c>
      <x:c r="F12" s="30" t="str">
        <x:v>Design Manager</x:v>
      </x:c>
      <x:c r="G12" s="30" t="str">
        <x:v>Day 15</x:v>
      </x:c>
      <x:c r="H12" s="30" t="str">
        <x:v>Day 45</x:v>
      </x:c>
      <x:c r="I12" s="30" t="str">
        <x:v>RFI checklist and audit</x:v>
      </x:c>
      <x:c r="J12" s="30" t="str">
        <x:v>KPI-12</x:v>
      </x:c>
      <x:c r="K12" s="30" t="str">
        <x:v>Not Started</x:v>
      </x:c>
      <x:c r="L12" s="30" t="str"/>
    </x:row>
    <x:row r="13" ht="50" customHeight="1">
      <x:c r="A13" s="30" t="str">
        <x:v>ACT-008</x:v>
      </x:c>
      <x:c r="B13" s="30" t="str">
        <x:v>Change package gate</x:v>
      </x:c>
      <x:c r="C13" s="30" t="str">
        <x:v>Require scope narrative, cost breakdown, schedule analysis, supporting RFI, and authority before approval review.</x:v>
      </x:c>
      <x:c r="D13" s="30" t="str">
        <x:v>Incomplete packages create returns and approval delay.</x:v>
      </x:c>
      <x:c r="E13" s="30" t="str">
        <x:v>High</x:v>
      </x:c>
      <x:c r="F13" s="30" t="str">
        <x:v>Change Manager</x:v>
      </x:c>
      <x:c r="G13" s="30" t="str">
        <x:v>Day 15</x:v>
      </x:c>
      <x:c r="H13" s="30" t="str">
        <x:v>Day 45</x:v>
      </x:c>
      <x:c r="I13" s="30" t="str">
        <x:v>Commercial completeness checklist</x:v>
      </x:c>
      <x:c r="J13" s="30" t="str">
        <x:v>KPI-03; KPI-12</x:v>
      </x:c>
      <x:c r="K13" s="30" t="str">
        <x:v>Not Started</x:v>
      </x:c>
      <x:c r="L13" s="30" t="str"/>
    </x:row>
    <x:row r="14" ht="50" customHeight="1">
      <x:c r="A14" s="30" t="str">
        <x:v>ACT-009</x:v>
      </x:c>
      <x:c r="B14" s="30" t="str">
        <x:v>Coordination conflict review</x:v>
      </x:c>
      <x:c r="C14" s="30" t="str">
        <x:v>Run monthly Pareto review of coordination conflicts and assign prevention actions by discipline.</x:v>
      </x:c>
      <x:c r="D14" s="30" t="str">
        <x:v>Coordination Conflict generated the greatest RFI cost impact.</x:v>
      </x:c>
      <x:c r="E14" s="30" t="str">
        <x:v>High</x:v>
      </x:c>
      <x:c r="F14" s="30" t="str">
        <x:v>Design Manager</x:v>
      </x:c>
      <x:c r="G14" s="30" t="str">
        <x:v>Day 20</x:v>
      </x:c>
      <x:c r="H14" s="30" t="str">
        <x:v>Day 60</x:v>
      </x:c>
      <x:c r="I14" s="30" t="str">
        <x:v>Pareto and prevention log</x:v>
      </x:c>
      <x:c r="J14" s="30" t="str">
        <x:v>KPI-02</x:v>
      </x:c>
      <x:c r="K14" s="30" t="str">
        <x:v>Not Started</x:v>
      </x:c>
      <x:c r="L14" s="30" t="str"/>
    </x:row>
    <x:row r="15" ht="50" customHeight="1">
      <x:c r="A15" s="30" t="str">
        <x:v>ACT-010</x:v>
      </x:c>
      <x:c r="B15" s="30" t="str">
        <x:v>Digital coordination pilot</x:v>
      </x:c>
      <x:c r="C15" s="30" t="str">
        <x:v>Pilot structured model coordination on selected Low digital-coordination projects.</x:v>
      </x:c>
      <x:c r="D15" s="30" t="str">
        <x:v>High digital coordination is associated with stronger RFI response performance.</x:v>
      </x:c>
      <x:c r="E15" s="30" t="str">
        <x:v>Medium</x:v>
      </x:c>
      <x:c r="F15" s="30" t="str">
        <x:v>Design Manager</x:v>
      </x:c>
      <x:c r="G15" s="30" t="str">
        <x:v>Day 30</x:v>
      </x:c>
      <x:c r="H15" s="30" t="str">
        <x:v>Day 75</x:v>
      </x:c>
      <x:c r="I15" s="30" t="str">
        <x:v>Pilot result report</x:v>
      </x:c>
      <x:c r="J15" s="30" t="str">
        <x:v>KPI-01; KPI-02</x:v>
      </x:c>
      <x:c r="K15" s="30" t="str">
        <x:v>Not Started</x:v>
      </x:c>
      <x:c r="L15" s="30" t="str"/>
    </x:row>
    <x:row r="16" ht="50" customHeight="1">
      <x:c r="A16" s="30" t="str">
        <x:v>ACT-011</x:v>
      </x:c>
      <x:c r="B16" s="30" t="str">
        <x:v>Project action plans</x:v>
      </x:c>
      <x:c r="C16" s="30" t="str">
        <x:v>Create tailored recovery plans for each top-10 priority project.</x:v>
      </x:c>
      <x:c r="D16" s="30" t="str">
        <x:v>Portfolio scoring identifies concentrated multi-indicator exposure.</x:v>
      </x:c>
      <x:c r="E16" s="30" t="str">
        <x:v>Critical</x:v>
      </x:c>
      <x:c r="F16" s="30" t="str">
        <x:v>Project Manager</x:v>
      </x:c>
      <x:c r="G16" s="30" t="str">
        <x:v>Day 1</x:v>
      </x:c>
      <x:c r="H16" s="30" t="str">
        <x:v>Day 21</x:v>
      </x:c>
      <x:c r="I16" s="30" t="str">
        <x:v>Project recovery plans</x:v>
      </x:c>
      <x:c r="J16" s="30" t="str">
        <x:v>KPI-11</x:v>
      </x:c>
      <x:c r="K16" s="30" t="str">
        <x:v>Not Started</x:v>
      </x:c>
      <x:c r="L16" s="30" t="str"/>
    </x:row>
    <x:row r="17" ht="50" customHeight="1">
      <x:c r="A17" s="30" t="str">
        <x:v>ACT-012</x:v>
      </x:c>
      <x:c r="B17" s="30" t="str">
        <x:v>Workflow alerts</x:v>
      </x:c>
      <x:c r="C17" s="30" t="str">
        <x:v>Generate automated exception files for Red projects, overdue RFIs, old pending changes, and forecast-incorporation gaps.</x:v>
      </x:c>
      <x:c r="D17" s="30" t="str">
        <x:v>Manual review is slower and less consistent.</x:v>
      </x:c>
      <x:c r="E17" s="30" t="str">
        <x:v>High</x:v>
      </x:c>
      <x:c r="F17" s="30" t="str">
        <x:v>Data Analyst</x:v>
      </x:c>
      <x:c r="G17" s="30" t="str">
        <x:v>Day 30</x:v>
      </x:c>
      <x:c r="H17" s="30" t="str">
        <x:v>Day 75</x:v>
      </x:c>
      <x:c r="I17" s="30" t="str">
        <x:v>Automated alert output</x:v>
      </x:c>
      <x:c r="J17" s="30" t="str">
        <x:v>KPI-05; KPI-07; KPI-08; KPI-09</x:v>
      </x:c>
      <x:c r="K17" s="30" t="str">
        <x:v>Not Started</x:v>
      </x:c>
      <x:c r="L17" s="30" t="str"/>
    </x:row>
    <x:row r="18" ht="50" customHeight="1">
      <x:c r="A18" s="30" t="str">
        <x:v>ACT-013</x:v>
      </x:c>
      <x:c r="B18" s="30" t="str">
        <x:v>Executive dashboard</x:v>
      </x:c>
      <x:c r="C18" s="30" t="str">
        <x:v>Issue a weekly executive exception dashboard with decisions required and owner commitments.</x:v>
      </x:c>
      <x:c r="D18" s="30" t="str">
        <x:v>Executives need concise decision-focused communication.</x:v>
      </x:c>
      <x:c r="E18" s="30" t="str">
        <x:v>High</x:v>
      </x:c>
      <x:c r="F18" s="30" t="str">
        <x:v>Project Controls Lead</x:v>
      </x:c>
      <x:c r="G18" s="30" t="str">
        <x:v>Day 15</x:v>
      </x:c>
      <x:c r="H18" s="30" t="str">
        <x:v>Day 45</x:v>
      </x:c>
      <x:c r="I18" s="30" t="str">
        <x:v>Published dashboard</x:v>
      </x:c>
      <x:c r="J18" s="30" t="str">
        <x:v>KPI-01–KPI-11</x:v>
      </x:c>
      <x:c r="K18" s="30" t="str">
        <x:v>Not Started</x:v>
      </x:c>
      <x:c r="L18" s="30" t="str"/>
    </x:row>
    <x:row r="19" ht="50" customHeight="1">
      <x:c r="A19" s="30" t="str">
        <x:v>ACT-014</x:v>
      </x:c>
      <x:c r="B19" s="30" t="str">
        <x:v>Benefits tracking</x:v>
      </x:c>
      <x:c r="C19" s="30" t="str">
        <x:v>Measure actual reduction in response time, approval cycle, backlog, exposure, and Red-project count.</x:v>
      </x:c>
      <x:c r="D19" s="30" t="str">
        <x:v>Benefits must be demonstrated rather than assumed.</x:v>
      </x:c>
      <x:c r="E19" s="30" t="str">
        <x:v>High</x:v>
      </x:c>
      <x:c r="F19" s="30" t="str">
        <x:v>Data Analyst</x:v>
      </x:c>
      <x:c r="G19" s="30" t="str">
        <x:v>Day 30</x:v>
      </x:c>
      <x:c r="H19" s="30" t="str">
        <x:v>Day 90</x:v>
      </x:c>
      <x:c r="I19" s="30" t="str">
        <x:v>Benefits realization report</x:v>
      </x:c>
      <x:c r="J19" s="30" t="str">
        <x:v>KPI-01–KPI-12</x:v>
      </x:c>
      <x:c r="K19" s="30" t="str">
        <x:v>Not Started</x:v>
      </x:c>
      <x:c r="L19" s="30" t="str"/>
    </x:row>
    <x:row r="20" ht="50" customHeight="1">
      <x:c r="A20" s="30" t="str">
        <x:v>ACT-015</x:v>
      </x:c>
      <x:c r="B20" s="30" t="str">
        <x:v>Threshold review</x:v>
      </x:c>
      <x:c r="C20" s="30" t="str">
        <x:v>Review thresholds quarterly and recalibrate only with documented evidence and stakeholder approval.</x:v>
      </x:c>
      <x:c r="D20" s="30" t="str">
        <x:v>Thresholds are case-study assumptions, not universal standards.</x:v>
      </x:c>
      <x:c r="E20" s="30" t="str">
        <x:v>Medium</x:v>
      </x:c>
      <x:c r="F20" s="30" t="str">
        <x:v>Project Controls Lead</x:v>
      </x:c>
      <x:c r="G20" s="30" t="str">
        <x:v>Day 75</x:v>
      </x:c>
      <x:c r="H20" s="30" t="str">
        <x:v>Day 90</x:v>
      </x:c>
      <x:c r="I20" s="30" t="str">
        <x:v>Threshold decision log</x:v>
      </x:c>
      <x:c r="J20" s="30" t="str">
        <x:v>KPI-01–KPI-12</x:v>
      </x:c>
      <x:c r="K20" s="30" t="str">
        <x:v>Not Started</x:v>
      </x:c>
      <x:c r="L20" s="30" t="str"/>
    </x:row>
    <x:row r="21" ht="50" customHeight="1">
      <x:c r="A21" s="30" t="str">
        <x:v>ACT-016</x:v>
      </x:c>
      <x:c r="B21" s="30" t="str">
        <x:v>Model governance</x:v>
      </x:c>
      <x:c r="C21" s="30" t="str">
        <x:v>Do not deploy the exploratory RFI-to-change model; collect better temporal data and define a governed pilot.</x:v>
      </x:c>
      <x:c r="D21" s="30" t="str">
        <x:v>Submission-only AUC was 0.510 and diagnostic AUC was 0.631.</x:v>
      </x:c>
      <x:c r="E21" s="30" t="str">
        <x:v>Critical</x:v>
      </x:c>
      <x:c r="F21" s="30" t="str">
        <x:v>Data Analyst</x:v>
      </x:c>
      <x:c r="G21" s="30" t="str">
        <x:v>Day 1</x:v>
      </x:c>
      <x:c r="H21" s="30" t="str">
        <x:v>Day 90</x:v>
      </x:c>
      <x:c r="I21" s="30" t="str">
        <x:v>Model governance memo</x:v>
      </x:c>
      <x:c r="J21" s="30" t="str">
        <x:v>None</x:v>
      </x:c>
      <x:c r="K21" s="30" t="str">
        <x:v>Not Started</x:v>
      </x:c>
      <x:c r="L21" s="30" t="str"/>
    </x:row>
  </x:sheetData>
  <x:mergeCells>
    <x:mergeCell ref="A1:L1"/>
    <x:mergeCell ref="A2:L3"/>
  </x:mergeCells>
  <x:conditionalFormatting sqref="E6:E21">
    <x:cfRule type="expression" dxfId="0" priority="1">
      <x:formula>E6="Critical"</x:formula>
    </x:cfRule>
    <x:cfRule type="expression" dxfId="1" priority="2">
      <x:formula>E6="High"</x:formula>
    </x:cfRule>
  </x:conditionalFormatting>
  <x:conditionalFormatting sqref="K6:K21">
    <x:cfRule type="expression" dxfId="2" priority="3">
      <x:formula>K6="Complete"</x:formula>
    </x:cfRule>
    <x:cfRule type="expression" dxfId="3" priority="4">
      <x:formula>K6="Blocked"</x:formula>
    </x:cfRule>
  </x:conditionalFormatting>
  <x:dataValidations count="3">
    <x:dataValidation type="list" sqref="E6:E21">
      <x:formula1>Lists!$B$2:$B$5</x:formula1>
    </x:dataValidation>
    <x:dataValidation type="list" sqref="F6:F21">
      <x:formula1>Lists!$C$2:$C$7</x:formula1>
    </x:dataValidation>
    <x:dataValidation type="list" sqref="K6:K21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6d1c1569754d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4" hidden="0" customWidth="1"/>
    <x:col min="4" max="4" width="44" hidden="0" customWidth="1"/>
    <x:col min="5" max="5" width="45" hidden="0" customWidth="1"/>
    <x:col min="6" max="6" width="38" hidden="0" customWidth="1"/>
    <x:col min="7" max="7" width="38" hidden="0" customWidth="1"/>
    <x:col min="8" max="8" width="48" hidden="0" customWidth="1"/>
    <x:col min="9" max="9" width="12" hidden="0" customWidth="1"/>
  </x:cols>
  <x:sheetData>
    <x:row r="1" ht="32" customHeight="1">
      <x:c r="A1" s="5" t="str">
        <x:v>Governance Cadence and Decision Rights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Meetings must produce decisions, accountable owners, due dates, and documented escalation.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5">
      <x:c r="A5" s="22" t="str">
        <x:v>Forum</x:v>
      </x:c>
      <x:c r="B5" s="22" t="str">
        <x:v>Cadence</x:v>
      </x:c>
      <x:c r="C5" s="22" t="str">
        <x:v>Chair</x:v>
      </x:c>
      <x:c r="D5" s="22" t="str">
        <x:v>Required Participants</x:v>
      </x:c>
      <x:c r="E5" s="22" t="str">
        <x:v>Purpose</x:v>
      </x:c>
      <x:c r="F5" s="22" t="str">
        <x:v>Inputs</x:v>
      </x:c>
      <x:c r="G5" s="22" t="str">
        <x:v>Outputs</x:v>
      </x:c>
      <x:c r="H5" s="22" t="str">
        <x:v>Escalation Trigger</x:v>
      </x:c>
      <x:c r="I5" s="22" t="str">
        <x:v>Timebox</x:v>
      </x:c>
    </x:row>
    <x:row r="6" ht="58" customHeight="1">
      <x:c r="A6" s="30" t="str">
        <x:v>Exception check</x:v>
      </x:c>
      <x:c r="B6" s="30" t="str">
        <x:v>Daily</x:v>
      </x:c>
      <x:c r="C6" s="30" t="str">
        <x:v>Project Controls Lead</x:v>
      </x:c>
      <x:c r="D6" s="30" t="str">
        <x:v>Project controls, design, change management</x:v>
      </x:c>
      <x:c r="E6" s="30" t="str">
        <x:v>Review newly Red exceptions and missed commitments.</x:v>
      </x:c>
      <x:c r="F6" s="30" t="str">
        <x:v>Automated alert file</x:v>
      </x:c>
      <x:c r="G6" s="30" t="str">
        <x:v>Assigned owner and due date</x:v>
      </x:c>
      <x:c r="H6" s="30" t="str">
        <x:v>Critical RFI &gt;3 days overdue; unowned Red action</x:v>
      </x:c>
      <x:c r="I6" s="30" t="str">
        <x:v>15 min</x:v>
      </x:c>
    </x:row>
    <x:row r="7" ht="58" customHeight="1">
      <x:c r="A7" s="30" t="str">
        <x:v>RFI coordination huddle</x:v>
      </x:c>
      <x:c r="B7" s="30" t="str">
        <x:v>Twice Weekly</x:v>
      </x:c>
      <x:c r="C7" s="30" t="str">
        <x:v>Design Manager</x:v>
      </x:c>
      <x:c r="D7" s="30" t="str">
        <x:v>Architect, engineers, contractor, CM</x:v>
      </x:c>
      <x:c r="E7" s="30" t="str">
        <x:v>Resolve High/Critical RFIs and discipline bottlenecks.</x:v>
      </x:c>
      <x:c r="F7" s="30" t="str">
        <x:v>RFI aging and priority list</x:v>
      </x:c>
      <x:c r="G7" s="30" t="str">
        <x:v>Responses, escalations, coordination actions</x:v>
      </x:c>
      <x:c r="H7" s="30" t="str">
        <x:v>High/Critical RFI &gt;7 days overdue</x:v>
      </x:c>
      <x:c r="I7" s="30" t="str">
        <x:v>30 min</x:v>
      </x:c>
    </x:row>
    <x:row r="8" ht="58" customHeight="1">
      <x:c r="A8" s="30" t="str">
        <x:v>Change review board</x:v>
      </x:c>
      <x:c r="B8" s="30" t="str">
        <x:v>Weekly</x:v>
      </x:c>
      <x:c r="C8" s="30" t="str">
        <x:v>Change Manager</x:v>
      </x:c>
      <x:c r="D8" s="30" t="str">
        <x:v>Owner rep, PM, cost, scheduler, designer</x:v>
      </x:c>
      <x:c r="E8" s="30" t="str">
        <x:v>Decide old and high-value pending changes.</x:v>
      </x:c>
      <x:c r="F8" s="30" t="str">
        <x:v>Change aging, pricing package, schedule analysis</x:v>
      </x:c>
      <x:c r="G8" s="30" t="str">
        <x:v>Approve, reject, revise, or escalate</x:v>
      </x:c>
      <x:c r="H8" s="30" t="str">
        <x:v>Pending &gt;35 days or exposure &gt;1.5% budget</x:v>
      </x:c>
      <x:c r="I8" s="30" t="str">
        <x:v>60 min</x:v>
      </x:c>
    </x:row>
    <x:row r="9" ht="58" customHeight="1">
      <x:c r="A9" s="30" t="str">
        <x:v>Project workflow review</x:v>
      </x:c>
      <x:c r="B9" s="30" t="str">
        <x:v>Weekly</x:v>
      </x:c>
      <x:c r="C9" s="30" t="str">
        <x:v>Project Controls Lead</x:v>
      </x:c>
      <x:c r="D9" s="30" t="str">
        <x:v>PMs for Red/Yellow projects</x:v>
      </x:c>
      <x:c r="E9" s="30" t="str">
        <x:v>Review project score, actions, and commitments.</x:v>
      </x:c>
      <x:c r="F9" s="30" t="str">
        <x:v>Health dashboard, top-10 list</x:v>
      </x:c>
      <x:c r="G9" s="30" t="str">
        <x:v>Updated recovery actions</x:v>
      </x:c>
      <x:c r="H9" s="30" t="str">
        <x:v>Risk score ≥6 or repeated missed commitment</x:v>
      </x:c>
      <x:c r="I9" s="30" t="str">
        <x:v>45 min</x:v>
      </x:c>
    </x:row>
    <x:row r="10" ht="58" customHeight="1">
      <x:c r="A10" s="30" t="str">
        <x:v>Forecast reconciliation</x:v>
      </x:c>
      <x:c r="B10" s="30" t="str">
        <x:v>Weekly</x:v>
      </x:c>
      <x:c r="C10" s="30" t="str">
        <x:v>Project Controls Lead</x:v>
      </x:c>
      <x:c r="D10" s="30" t="str">
        <x:v>Cost manager, change manager, PM</x:v>
      </x:c>
      <x:c r="E10" s="30" t="str">
        <x:v>Ensure approved changes are reflected in forecasts.</x:v>
      </x:c>
      <x:c r="F10" s="30" t="str">
        <x:v>Approval register and forecast</x:v>
      </x:c>
      <x:c r="G10" s="30" t="str">
        <x:v>Reconciled forecast log</x:v>
      </x:c>
      <x:c r="H10" s="30" t="str">
        <x:v>Approved item not incorporated &gt;5 business days</x:v>
      </x:c>
      <x:c r="I10" s="30" t="str">
        <x:v>30 min</x:v>
      </x:c>
    </x:row>
    <x:row r="11" ht="58" customHeight="1">
      <x:c r="A11" s="30" t="str">
        <x:v>Executive steering review</x:v>
      </x:c>
      <x:c r="B11" s="30" t="str">
        <x:v>Monthly</x:v>
      </x:c>
      <x:c r="C11" s="30" t="str">
        <x:v>Executive Sponsor</x:v>
      </x:c>
      <x:c r="D11" s="30" t="str">
        <x:v>Functional leads and priority PMs</x:v>
      </x:c>
      <x:c r="E11" s="30" t="str">
        <x:v>Review portfolio targets, unresolved decisions, and benefits.</x:v>
      </x:c>
      <x:c r="F11" s="30" t="str">
        <x:v>Executive dashboard and benefits tracker</x:v>
      </x:c>
      <x:c r="G11" s="30" t="str">
        <x:v>Executive decisions and resource allocation</x:v>
      </x:c>
      <x:c r="H11" s="30" t="str">
        <x:v>90-day target off trajectory</x:v>
      </x:c>
      <x:c r="I11" s="30" t="str">
        <x:v>60 min</x:v>
      </x:c>
    </x:row>
    <x:row r="12" ht="58" customHeight="1">
      <x:c r="A12" s="30" t="str">
        <x:v>Root-cause review</x:v>
      </x:c>
      <x:c r="B12" s="30" t="str">
        <x:v>Monthly</x:v>
      </x:c>
      <x:c r="C12" s="30" t="str">
        <x:v>Design Manager</x:v>
      </x:c>
      <x:c r="D12" s="30" t="str">
        <x:v>Design disciplines, CM, data analyst</x:v>
      </x:c>
      <x:c r="E12" s="30" t="str">
        <x:v>Review Pareto of RFI types, disciplines, and revision loops.</x:v>
      </x:c>
      <x:c r="F12" s="30" t="str">
        <x:v>RFI type and discipline analysis</x:v>
      </x:c>
      <x:c r="G12" s="30" t="str">
        <x:v>Prevention actions</x:v>
      </x:c>
      <x:c r="H12" s="30" t="str">
        <x:v>Repeated cause in top three for two months</x:v>
      </x:c>
      <x:c r="I12" s="30" t="str">
        <x:v>45 min</x:v>
      </x:c>
    </x:row>
    <x:row r="13" ht="58" customHeight="1">
      <x:c r="A13" s="30" t="str">
        <x:v>Methods and threshold review</x:v>
      </x:c>
      <x:c r="B13" s="30" t="str">
        <x:v>Quarterly</x:v>
      </x:c>
      <x:c r="C13" s="30" t="str">
        <x:v>Project Controls Lead</x:v>
      </x:c>
      <x:c r="D13" s="30" t="str">
        <x:v>Executive sponsor, data analyst, PM leaders</x:v>
      </x:c>
      <x:c r="E13" s="30" t="str">
        <x:v>Review metric definitions, thresholds, and analytical validity.</x:v>
      </x:c>
      <x:c r="F13" s="30" t="str">
        <x:v>Metric history and exceptions</x:v>
      </x:c>
      <x:c r="G13" s="30" t="str">
        <x:v>Approved methodology changes</x:v>
      </x:c>
      <x:c r="H13" s="30" t="str">
        <x:v>Material drift or governance issue</x:v>
      </x:c>
      <x:c r="I13" s="30" t="str">
        <x:v>90 min</x:v>
      </x:c>
    </x:row>
  </x:sheetData>
  <x:mergeCells>
    <x:mergeCell ref="A1:I1"/>
    <x:mergeCell ref="A2:I3"/>
  </x:mergeCells>
  <x:dataValidations count="1">
    <x:dataValidation type="list" sqref="B6:B13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fba615281241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30" hidden="0" customWidth="1"/>
    <x:col min="4" max="4" width="12" hidden="0" customWidth="1"/>
    <x:col min="5" max="5" width="11" hidden="0" customWidth="1"/>
    <x:col min="6" max="6" width="15" hidden="0" customWidth="1"/>
    <x:col min="7" max="7" width="17" hidden="0" customWidth="1"/>
    <x:col min="8" max="8" width="16" hidden="0" customWidth="1"/>
    <x:col min="9" max="9" width="34" hidden="0" customWidth="1"/>
    <x:col min="10" max="10" width="58" hidden="0" customWidth="1"/>
    <x:col min="11" max="11" width="22" hidden="0" customWidth="1"/>
    <x:col min="12" max="12" width="14" hidden="0" customWidth="1"/>
    <x:col min="13" max="13" width="16" hidden="0" customWidth="1"/>
    <x:col min="14" max="14" width="34" hidden="0" customWidth="1"/>
  </x:cols>
  <x:sheetData>
    <x:row r="1" ht="32" customHeight="1">
      <x:c r="A1" s="5" t="str">
        <x:v>Top 10 Priority Project Action Plans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Project-specific starting actions generated from the validated transparent risk indicators.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5">
      <x:c r="A5" s="22" t="str">
        <x:v>Rank</x:v>
      </x:c>
      <x:c r="B5" s="22" t="str">
        <x:v>Project ID</x:v>
      </x:c>
      <x:c r="C5" s="22" t="str">
        <x:v>Project</x:v>
      </x:c>
      <x:c r="D5" s="22" t="str">
        <x:v>Risk Score</x:v>
      </x:c>
      <x:c r="E5" s="22" t="str">
        <x:v>Health</x:v>
      </x:c>
      <x:c r="F5" s="22" t="str">
        <x:v>Avg RFI Days</x:v>
      </x:c>
      <x:c r="G5" s="22" t="str">
        <x:v>Avg Approval Days</x:v>
      </x:c>
      <x:c r="H5" s="22" t="str">
        <x:v>Pending / Budget</x:v>
      </x:c>
      <x:c r="I5" s="22" t="str">
        <x:v>Primary Trigger</x:v>
      </x:c>
      <x:c r="J5" s="22" t="str">
        <x:v>Immediate Action</x:v>
      </x:c>
      <x:c r="K5" s="22" t="str">
        <x:v>Owner</x:v>
      </x:c>
      <x:c r="L5" s="22" t="str">
        <x:v>Due Window</x:v>
      </x:c>
      <x:c r="M5" s="22" t="str">
        <x:v>Status</x:v>
      </x:c>
      <x:c r="N5" s="22" t="str">
        <x:v>Success Evidence</x:v>
      </x:c>
    </x:row>
    <x:row r="6" ht="58" customHeight="1">
      <x:c r="A6" s="30" t="n">
        <x:v>1</x:v>
      </x:c>
      <x:c r="B6" s="30" t="str">
        <x:v>PRJ-006</x:v>
      </x:c>
      <x:c r="C6" s="30" t="str">
        <x:v>Summit Corporate Center</x:v>
      </x:c>
      <x:c r="D6" s="30" t="n">
        <x:v>10</x:v>
      </x:c>
      <x:c r="E6" s="30" t="str">
        <x:v>Red</x:v>
      </x:c>
      <x:c r="F6" s="30" t="n">
        <x:v>11.484848484848484</x:v>
      </x:c>
      <x:c r="G6" s="30" t="n">
        <x:v>32.5</x:v>
      </x:c>
      <x:c r="H6" s="284" t="n">
        <x:v>0.02658</x:v>
      </x:c>
      <x:c r="I6" s="30" t="str">
        <x:v>High/Critical overdue, Pending exposure, Forecast lag</x:v>
      </x:c>
      <x:c r="J6" s="30" t="str">
        <x:v>Launch executive recovery review; assign owners to all Red triggers; close High/Critical overdue RFIs; decide oldest pending changes; reconcile forecast.</x:v>
      </x:c>
      <x:c r="K6" s="30" t="str">
        <x:v>Project Manager</x:v>
      </x:c>
      <x:c r="L6" s="30" t="str">
        <x:v>Day 21</x:v>
      </x:c>
      <x:c r="M6" s="30" t="str">
        <x:v>Not Started</x:v>
      </x:c>
      <x:c r="N6" s="30" t="str">
        <x:v>Risk score reduced and overdue commitments closed</x:v>
      </x:c>
    </x:row>
    <x:row r="7" ht="58" customHeight="1">
      <x:c r="A7" s="30" t="n">
        <x:v>2</x:v>
      </x:c>
      <x:c r="B7" s="30" t="str">
        <x:v>PRJ-025</x:v>
      </x:c>
      <x:c r="C7" s="30" t="str">
        <x:v>Canyon Transit-Oriented Development</x:v>
      </x:c>
      <x:c r="D7" s="30" t="n">
        <x:v>9</x:v>
      </x:c>
      <x:c r="E7" s="30" t="str">
        <x:v>Red</x:v>
      </x:c>
      <x:c r="F7" s="30" t="n">
        <x:v>17.032258064516128</x:v>
      </x:c>
      <x:c r="G7" s="30" t="n">
        <x:v>51</x:v>
      </x:c>
      <x:c r="H7" s="284" t="n">
        <x:v>0.029500000000000002</x:v>
      </x:c>
      <x:c r="I7" s="30" t="str">
        <x:v>RFI response, Approval cycle, Pending exposure</x:v>
      </x:c>
      <x:c r="J7" s="30" t="str">
        <x:v>Launch executive recovery review; assign owners to all Red triggers; close High/Critical overdue RFIs; decide oldest pending changes; reconcile forecast.</x:v>
      </x:c>
      <x:c r="K7" s="30" t="str">
        <x:v>Project Manager</x:v>
      </x:c>
      <x:c r="L7" s="30" t="str">
        <x:v>Day 21</x:v>
      </x:c>
      <x:c r="M7" s="30" t="str">
        <x:v>Not Started</x:v>
      </x:c>
      <x:c r="N7" s="30" t="str">
        <x:v>Risk score reduced and overdue commitments closed</x:v>
      </x:c>
    </x:row>
    <x:row r="8" ht="58" customHeight="1">
      <x:c r="A8" s="30" t="n">
        <x:v>3</x:v>
      </x:c>
      <x:c r="B8" s="30" t="str">
        <x:v>PRJ-075</x:v>
      </x:c>
      <x:c r="C8" s="30" t="str">
        <x:v>Summit Urban Village</x:v>
      </x:c>
      <x:c r="D8" s="30" t="n">
        <x:v>9</x:v>
      </x:c>
      <x:c r="E8" s="30" t="str">
        <x:v>Red</x:v>
      </x:c>
      <x:c r="F8" s="30" t="n">
        <x:v>18.583333333333332</x:v>
      </x:c>
      <x:c r="G8" s="30" t="n">
        <x:v>43.625</x:v>
      </x:c>
      <x:c r="H8" s="284" t="n">
        <x:v>0.01403</x:v>
      </x:c>
      <x:c r="I8" s="30" t="str">
        <x:v>RFI response, High/Critical overdue, Approval cycle</x:v>
      </x:c>
      <x:c r="J8" s="30" t="str">
        <x:v>Launch executive recovery review; assign owners to all Red triggers; close High/Critical overdue RFIs; decide oldest pending changes; reconcile forecast.</x:v>
      </x:c>
      <x:c r="K8" s="30" t="str">
        <x:v>Project Manager</x:v>
      </x:c>
      <x:c r="L8" s="30" t="str">
        <x:v>Day 21</x:v>
      </x:c>
      <x:c r="M8" s="30" t="str">
        <x:v>Not Started</x:v>
      </x:c>
      <x:c r="N8" s="30" t="str">
        <x:v>Risk score reduced and overdue commitments closed</x:v>
      </x:c>
    </x:row>
    <x:row r="9" ht="58" customHeight="1">
      <x:c r="A9" s="30" t="n">
        <x:v>4</x:v>
      </x:c>
      <x:c r="B9" s="30" t="str">
        <x:v>PRJ-051</x:v>
      </x:c>
      <x:c r="C9" s="30" t="str">
        <x:v>Evergreen Apartments</x:v>
      </x:c>
      <x:c r="D9" s="30" t="n">
        <x:v>9</x:v>
      </x:c>
      <x:c r="E9" s="30" t="str">
        <x:v>Red</x:v>
      </x:c>
      <x:c r="F9" s="30" t="n">
        <x:v>21.096153846153847</x:v>
      </x:c>
      <x:c r="G9" s="30" t="n">
        <x:v>45.857142857142854</x:v>
      </x:c>
      <x:c r="H9" s="284" t="n">
        <x:v>0.005620000000000001</x:v>
      </x:c>
      <x:c r="I9" s="30" t="str">
        <x:v>RFI response, High/Critical overdue, Approval cycle</x:v>
      </x:c>
      <x:c r="J9" s="30" t="str">
        <x:v>Launch executive recovery review; assign owners to all Red triggers; close High/Critical overdue RFIs; decide oldest pending changes; reconcile forecast.</x:v>
      </x:c>
      <x:c r="K9" s="30" t="str">
        <x:v>Project Manager</x:v>
      </x:c>
      <x:c r="L9" s="30" t="str">
        <x:v>Day 21</x:v>
      </x:c>
      <x:c r="M9" s="30" t="str">
        <x:v>Not Started</x:v>
      </x:c>
      <x:c r="N9" s="30" t="str">
        <x:v>Risk score reduced and overdue commitments closed</x:v>
      </x:c>
    </x:row>
    <x:row r="10" ht="58" customHeight="1">
      <x:c r="A10" s="30" t="n">
        <x:v>5</x:v>
      </x:c>
      <x:c r="B10" s="30" t="str">
        <x:v>PRJ-013</x:v>
      </x:c>
      <x:c r="C10" s="30" t="str">
        <x:v>Aspen Civic Complex 2</x:v>
      </x:c>
      <x:c r="D10" s="30" t="n">
        <x:v>9</x:v>
      </x:c>
      <x:c r="E10" s="30" t="str">
        <x:v>Red</x:v>
      </x:c>
      <x:c r="F10" s="30" t="n">
        <x:v>10.394736842105264</x:v>
      </x:c>
      <x:c r="G10" s="30" t="n">
        <x:v>29.571428571428573</x:v>
      </x:c>
      <x:c r="H10" s="284" t="n">
        <x:v>0.00515</x:v>
      </x:c>
      <x:c r="I10" s="30" t="str">
        <x:v>High/Critical overdue, Not incorporated</x:v>
      </x:c>
      <x:c r="J10" s="30" t="str">
        <x:v>Launch executive recovery review; assign owners to all Red triggers; close High/Critical overdue RFIs; decide oldest pending changes; reconcile forecast.</x:v>
      </x:c>
      <x:c r="K10" s="30" t="str">
        <x:v>Project Manager</x:v>
      </x:c>
      <x:c r="L10" s="30" t="str">
        <x:v>Day 21</x:v>
      </x:c>
      <x:c r="M10" s="30" t="str">
        <x:v>Not Started</x:v>
      </x:c>
      <x:c r="N10" s="30" t="str">
        <x:v>Risk score reduced and overdue commitments closed</x:v>
      </x:c>
    </x:row>
    <x:row r="11" ht="58" customHeight="1">
      <x:c r="A11" s="30" t="n">
        <x:v>6</x:v>
      </x:c>
      <x:c r="B11" s="30" t="str">
        <x:v>PRJ-016</x:v>
      </x:c>
      <x:c r="C11" s="30" t="str">
        <x:v>Evergreen Town Center</x:v>
      </x:c>
      <x:c r="D11" s="30" t="n">
        <x:v>8</x:v>
      </x:c>
      <x:c r="E11" s="30" t="str">
        <x:v>Red</x:v>
      </x:c>
      <x:c r="F11" s="30" t="n">
        <x:v>17.025</x:v>
      </x:c>
      <x:c r="G11" s="30" t="n">
        <x:v>35.6</x:v>
      </x:c>
      <x:c r="H11" s="284" t="n">
        <x:v>0.018340000000000002</x:v>
      </x:c>
      <x:c r="I11" s="30" t="str">
        <x:v>RFI response, Approval cycle, Pending exposure</x:v>
      </x:c>
      <x:c r="J11" s="30" t="str">
        <x:v>Launch executive recovery review; assign owners to all Red triggers; close High/Critical overdue RFIs; decide oldest pending changes; reconcile forecast.</x:v>
      </x:c>
      <x:c r="K11" s="30" t="str">
        <x:v>Project Manager</x:v>
      </x:c>
      <x:c r="L11" s="30" t="str">
        <x:v>Day 21</x:v>
      </x:c>
      <x:c r="M11" s="30" t="str">
        <x:v>Not Started</x:v>
      </x:c>
      <x:c r="N11" s="30" t="str">
        <x:v>Risk score reduced and overdue commitments closed</x:v>
      </x:c>
    </x:row>
    <x:row r="12" ht="58" customHeight="1">
      <x:c r="A12" s="30" t="n">
        <x:v>7</x:v>
      </x:c>
      <x:c r="B12" s="30" t="str">
        <x:v>PRJ-039</x:v>
      </x:c>
      <x:c r="C12" s="30" t="str">
        <x:v>Silver Creek Urban Village 2</x:v>
      </x:c>
      <x:c r="D12" s="30" t="n">
        <x:v>8</x:v>
      </x:c>
      <x:c r="E12" s="30" t="str">
        <x:v>Red</x:v>
      </x:c>
      <x:c r="F12" s="30" t="n">
        <x:v>12.307692307692308</x:v>
      </x:c>
      <x:c r="G12" s="30" t="n">
        <x:v>39.333333333333336</x:v>
      </x:c>
      <x:c r="H12" s="284" t="n">
        <x:v>0.01401</x:v>
      </x:c>
      <x:c r="I12" s="30" t="str">
        <x:v>Approval cycle, Not incorporated</x:v>
      </x:c>
      <x:c r="J12" s="30" t="str">
        <x:v>Launch executive recovery review; assign owners to all Red triggers; close High/Critical overdue RFIs; decide oldest pending changes; reconcile forecast.</x:v>
      </x:c>
      <x:c r="K12" s="30" t="str">
        <x:v>Project Manager</x:v>
      </x:c>
      <x:c r="L12" s="30" t="str">
        <x:v>Day 21</x:v>
      </x:c>
      <x:c r="M12" s="30" t="str">
        <x:v>Not Started</x:v>
      </x:c>
      <x:c r="N12" s="30" t="str">
        <x:v>Risk score reduced and overdue commitments closed</x:v>
      </x:c>
    </x:row>
    <x:row r="13" ht="58" customHeight="1">
      <x:c r="A13" s="30" t="n">
        <x:v>8</x:v>
      </x:c>
      <x:c r="B13" s="30" t="str">
        <x:v>PRJ-019</x:v>
      </x:c>
      <x:c r="C13" s="30" t="str">
        <x:v>Pioneer Research Center</x:v>
      </x:c>
      <x:c r="D13" s="30" t="n">
        <x:v>8</x:v>
      </x:c>
      <x:c r="E13" s="30" t="str">
        <x:v>Red</x:v>
      </x:c>
      <x:c r="F13" s="30" t="n">
        <x:v>14.942307692307692</x:v>
      </x:c>
      <x:c r="G13" s="30" t="n">
        <x:v>35.8</x:v>
      </x:c>
      <x:c r="H13" s="284" t="n">
        <x:v>0.0126</x:v>
      </x:c>
      <x:c r="I13" s="30" t="str">
        <x:v>High/Critical overdue, Approval cycle</x:v>
      </x:c>
      <x:c r="J13" s="30" t="str">
        <x:v>Launch executive recovery review; assign owners to all Red triggers; close High/Critical overdue RFIs; decide oldest pending changes; reconcile forecast.</x:v>
      </x:c>
      <x:c r="K13" s="30" t="str">
        <x:v>Project Manager</x:v>
      </x:c>
      <x:c r="L13" s="30" t="str">
        <x:v>Day 21</x:v>
      </x:c>
      <x:c r="M13" s="30" t="str">
        <x:v>Not Started</x:v>
      </x:c>
      <x:c r="N13" s="30" t="str">
        <x:v>Risk score reduced and overdue commitments closed</x:v>
      </x:c>
    </x:row>
    <x:row r="14" ht="58" customHeight="1">
      <x:c r="A14" s="30" t="n">
        <x:v>9</x:v>
      </x:c>
      <x:c r="B14" s="30" t="str">
        <x:v>PRJ-017</x:v>
      </x:c>
      <x:c r="C14" s="30" t="str">
        <x:v>Mountain Gate Transit Center</x:v>
      </x:c>
      <x:c r="D14" s="30" t="n">
        <x:v>8</x:v>
      </x:c>
      <x:c r="E14" s="30" t="str">
        <x:v>Red</x:v>
      </x:c>
      <x:c r="F14" s="30" t="n">
        <x:v>19.03921568627451</x:v>
      </x:c>
      <x:c r="G14" s="30" t="n">
        <x:v>33.2</x:v>
      </x:c>
      <x:c r="H14" s="284" t="n">
        <x:v>0.00831</x:v>
      </x:c>
      <x:c r="I14" s="30" t="str">
        <x:v>RFI response</x:v>
      </x:c>
      <x:c r="J14" s="30" t="str">
        <x:v>Launch executive recovery review; assign owners to all Red triggers; close High/Critical overdue RFIs; decide oldest pending changes; reconcile forecast.</x:v>
      </x:c>
      <x:c r="K14" s="30" t="str">
        <x:v>Project Manager</x:v>
      </x:c>
      <x:c r="L14" s="30" t="str">
        <x:v>Day 21</x:v>
      </x:c>
      <x:c r="M14" s="30" t="str">
        <x:v>Not Started</x:v>
      </x:c>
      <x:c r="N14" s="30" t="str">
        <x:v>Risk score reduced and overdue commitments closed</x:v>
      </x:c>
    </x:row>
    <x:row r="15" ht="58" customHeight="1">
      <x:c r="A15" s="30" t="n">
        <x:v>10</x:v>
      </x:c>
      <x:c r="B15" s="30" t="str">
        <x:v>PRJ-021</x:v>
      </x:c>
      <x:c r="C15" s="30" t="str">
        <x:v>Desert View Processing Plant</x:v>
      </x:c>
      <x:c r="D15" s="30" t="n">
        <x:v>8</x:v>
      </x:c>
      <x:c r="E15" s="30" t="str">
        <x:v>Red</x:v>
      </x:c>
      <x:c r="F15" s="30" t="n">
        <x:v>18</x:v>
      </x:c>
      <x:c r="G15" s="30" t="n">
        <x:v>36.45454545454545</x:v>
      </x:c>
      <x:c r="H15" s="284" t="n">
        <x:v>0.00172</x:v>
      </x:c>
      <x:c r="I15" s="30" t="str">
        <x:v>RFI response, Approval cycle, Forecast lag</x:v>
      </x:c>
      <x:c r="J15" s="30" t="str">
        <x:v>Launch executive recovery review; assign owners to all Red triggers; close High/Critical overdue RFIs; decide oldest pending changes; reconcile forecast.</x:v>
      </x:c>
      <x:c r="K15" s="30" t="str">
        <x:v>Project Manager</x:v>
      </x:c>
      <x:c r="L15" s="30" t="str">
        <x:v>Day 21</x:v>
      </x:c>
      <x:c r="M15" s="30" t="str">
        <x:v>Not Started</x:v>
      </x:c>
      <x:c r="N15" s="30" t="str">
        <x:v>Risk score reduced and overdue commitments closed</x:v>
      </x:c>
    </x:row>
  </x:sheetData>
  <x:mergeCells>
    <x:mergeCell ref="A1:N1"/>
    <x:mergeCell ref="A2:N3"/>
  </x:mergeCells>
  <x:conditionalFormatting sqref="E6:E15">
    <x:cfRule type="expression" dxfId="4" priority="1">
      <x:formula>E6="Red"</x:formula>
    </x:cfRule>
  </x:conditionalFormatting>
  <x:conditionalFormatting sqref="D6:D15">
    <x:cfRule type="dataBar" priority="2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{D53D7C5E-A5D9-8BF7-CAB2-30CCAF8FDF36}</x14:id>
        </x:ext>
      </x:extLst>
    </x:cfRule>
  </x:conditionalFormatting>
  <x:dataValidations count="1">
    <x:dataValidation type="list" sqref="M6:M15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f924e9ac684c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53D7C5E-A5D9-8BF7-CAB2-30CCAF8FDF36}">
            <x14:dataBar gradient="1">
              <x14:cfvo type="min"/>
              <x14:cfvo type="max"/>
              <x14:fillColor rgb="FF1EA7C5"/>
            </x14:dataBar>
          </x14:cfRule>
          <xm:sqref>D6:D15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60" hidden="0" customWidth="1"/>
    <x:col min="4" max="4" width="24" hidden="0" customWidth="1"/>
    <x:col min="5" max="5" width="28" hidden="0" customWidth="1"/>
    <x:col min="6" max="6" width="32" hidden="0" customWidth="1"/>
    <x:col min="7" max="7" width="38" hidden="0" customWidth="1"/>
    <x:col min="8" max="8" width="18" hidden="0" customWidth="1"/>
  </x:cols>
  <x:sheetData>
    <x:row r="1" ht="32" customHeight="1">
      <x:c r="A1" s="5" t="str">
        <x:v>Proposed Workflow Control Standards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Proposed operating standards derived from the portfolio analysis and intended for management validation.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5">
      <x:c r="A5" s="22" t="str">
        <x:v>Control ID</x:v>
      </x:c>
      <x:c r="B5" s="22" t="str">
        <x:v>Control</x:v>
      </x:c>
      <x:c r="C5" s="22" t="str">
        <x:v>Standard</x:v>
      </x:c>
      <x:c r="D5" s="22" t="str">
        <x:v>Owner</x:v>
      </x:c>
      <x:c r="E5" s="22" t="str">
        <x:v>Evidence</x:v>
      </x:c>
      <x:c r="F5" s="22" t="str">
        <x:v>Exception</x:v>
      </x:c>
      <x:c r="G5" s="22" t="str">
        <x:v>Escalation</x:v>
      </x:c>
      <x:c r="H5" s="22" t="str">
        <x:v>Review Frequency</x:v>
      </x:c>
    </x:row>
    <x:row r="6" ht="54" customHeight="1">
      <x:c r="A6" s="30" t="str">
        <x:v>CTL-001</x:v>
      </x:c>
      <x:c r="B6" s="30" t="str">
        <x:v>RFI required response</x:v>
      </x:c>
      <x:c r="C6" s="30" t="str">
        <x:v>Critical 3 days; High 5; Medium 10; Low 14.</x:v>
      </x:c>
      <x:c r="D6" s="30" t="str">
        <x:v>Design Manager</x:v>
      </x:c>
      <x:c r="E6" s="30" t="str">
        <x:v>RFI log</x:v>
      </x:c>
      <x:c r="F6" s="30" t="str">
        <x:v>Required date missed</x:v>
      </x:c>
      <x:c r="G6" s="30" t="str">
        <x:v>Escalate by priority and age</x:v>
      </x:c>
      <x:c r="H6" s="30" t="str">
        <x:v>Twice Weekly</x:v>
      </x:c>
    </x:row>
    <x:row r="7" ht="54" customHeight="1">
      <x:c r="A7" s="30" t="str">
        <x:v>CTL-002</x:v>
      </x:c>
      <x:c r="B7" s="30" t="str">
        <x:v>RFI submission completeness</x:v>
      </x:c>
      <x:c r="C7" s="30" t="str">
        <x:v>Location, drawing reference, scope question, impact, and required decision must be complete.</x:v>
      </x:c>
      <x:c r="D7" s="30" t="str">
        <x:v>Design Manager</x:v>
      </x:c>
      <x:c r="E7" s="30" t="str">
        <x:v>Checklist audit</x:v>
      </x:c>
      <x:c r="F7" s="30" t="str">
        <x:v>Missing required field</x:v>
      </x:c>
      <x:c r="G7" s="30" t="str">
        <x:v>Return before workflow start</x:v>
      </x:c>
      <x:c r="H7" s="30" t="str">
        <x:v>Monthly</x:v>
      </x:c>
    </x:row>
    <x:row r="8" ht="54" customHeight="1">
      <x:c r="A8" s="30" t="str">
        <x:v>CTL-003</x:v>
      </x:c>
      <x:c r="B8" s="30" t="str">
        <x:v>Change package completeness</x:v>
      </x:c>
      <x:c r="C8" s="30" t="str">
        <x:v>Scope narrative, cost detail, schedule analysis, supporting documents, authority, and requested decision.</x:v>
      </x:c>
      <x:c r="D8" s="30" t="str">
        <x:v>Change Manager</x:v>
      </x:c>
      <x:c r="E8" s="30" t="str">
        <x:v>Package checklist</x:v>
      </x:c>
      <x:c r="F8" s="30" t="str">
        <x:v>Incomplete package</x:v>
      </x:c>
      <x:c r="G8" s="30" t="str">
        <x:v>Return with deficiencies documented</x:v>
      </x:c>
      <x:c r="H8" s="30" t="str">
        <x:v>Weekly</x:v>
      </x:c>
    </x:row>
    <x:row r="9" ht="54" customHeight="1">
      <x:c r="A9" s="30" t="str">
        <x:v>CTL-004</x:v>
      </x:c>
      <x:c r="B9" s="30" t="str">
        <x:v>Change decision aging</x:v>
      </x:c>
      <x:c r="C9" s="30" t="str">
        <x:v>All pending items reviewed weekly; items &gt;35 days require executive disposition plan.</x:v>
      </x:c>
      <x:c r="D9" s="30" t="str">
        <x:v>Change Manager</x:v>
      </x:c>
      <x:c r="E9" s="30" t="str">
        <x:v>Aging report</x:v>
      </x:c>
      <x:c r="F9" s="30" t="str">
        <x:v>Pending &gt;35 days</x:v>
      </x:c>
      <x:c r="G9" s="30" t="str">
        <x:v>Executive sponsor review</x:v>
      </x:c>
      <x:c r="H9" s="30" t="str">
        <x:v>Weekly</x:v>
      </x:c>
    </x:row>
    <x:row r="10" ht="54" customHeight="1">
      <x:c r="A10" s="30" t="str">
        <x:v>CTL-005</x:v>
      </x:c>
      <x:c r="B10" s="30" t="str">
        <x:v>Forecast incorporation</x:v>
      </x:c>
      <x:c r="C10" s="30" t="str">
        <x:v>Approved changes incorporated within five business days.</x:v>
      </x:c>
      <x:c r="D10" s="30" t="str">
        <x:v>Project Controls Lead</x:v>
      </x:c>
      <x:c r="E10" s="30" t="str">
        <x:v>Reconciliation log</x:v>
      </x:c>
      <x:c r="F10" s="30" t="str">
        <x:v>Lag &gt;5 days</x:v>
      </x:c>
      <x:c r="G10" s="30" t="str">
        <x:v>Escalate to PM and cost lead</x:v>
      </x:c>
      <x:c r="H10" s="30" t="str">
        <x:v>Weekly</x:v>
      </x:c>
    </x:row>
    <x:row r="11" ht="54" customHeight="1">
      <x:c r="A11" s="30" t="str">
        <x:v>CTL-006</x:v>
      </x:c>
      <x:c r="B11" s="30" t="str">
        <x:v>Project health recovery</x:v>
      </x:c>
      <x:c r="C11" s="30" t="str">
        <x:v>Red projects require a documented action plan and weekly status until score &lt;6.</x:v>
      </x:c>
      <x:c r="D11" s="30" t="str">
        <x:v>Project Manager</x:v>
      </x:c>
      <x:c r="E11" s="30" t="str">
        <x:v>Recovery plan</x:v>
      </x:c>
      <x:c r="F11" s="30" t="str">
        <x:v>Score ≥6</x:v>
      </x:c>
      <x:c r="G11" s="30" t="str">
        <x:v>Executive steering review</x:v>
      </x:c>
      <x:c r="H11" s="30" t="str">
        <x:v>Weekly</x:v>
      </x:c>
    </x:row>
    <x:row r="12" ht="54" customHeight="1">
      <x:c r="A12" s="30" t="str">
        <x:v>CTL-007</x:v>
      </x:c>
      <x:c r="B12" s="30" t="str">
        <x:v>Revision-loop review</x:v>
      </x:c>
      <x:c r="C12" s="30" t="str">
        <x:v>Repeated return loops require root-cause classification and prevention action.</x:v>
      </x:c>
      <x:c r="D12" s="30" t="str">
        <x:v>Design Manager</x:v>
      </x:c>
      <x:c r="E12" s="30" t="str">
        <x:v>Revision-loop report</x:v>
      </x:c>
      <x:c r="F12" s="30" t="str">
        <x:v>Two or more returns</x:v>
      </x:c>
      <x:c r="G12" s="30" t="str">
        <x:v>Monthly root-cause forum</x:v>
      </x:c>
      <x:c r="H12" s="30" t="str">
        <x:v>Monthly</x:v>
      </x:c>
    </x:row>
    <x:row r="13" ht="54" customHeight="1">
      <x:c r="A13" s="30" t="str">
        <x:v>CTL-008</x:v>
      </x:c>
      <x:c r="B13" s="30" t="str">
        <x:v>Analytical model governance</x:v>
      </x:c>
      <x:c r="C13" s="30" t="str">
        <x:v>Exploratory model may not drive production decisions without formal validation.</x:v>
      </x:c>
      <x:c r="D13" s="30" t="str">
        <x:v>Data Analyst</x:v>
      </x:c>
      <x:c r="E13" s="30" t="str">
        <x:v>Model governance memo</x:v>
      </x:c>
      <x:c r="F13" s="30" t="str">
        <x:v>Unauthorized model use</x:v>
      </x:c>
      <x:c r="G13" s="30" t="str">
        <x:v>Stop use and notify sponsor</x:v>
      </x:c>
      <x:c r="H13" s="30" t="str">
        <x:v>Quarterly</x:v>
      </x:c>
    </x:row>
    <x:row r="14" ht="54" customHeight="1">
      <x:c r="A14" s="30" t="str">
        <x:v>CTL-009</x:v>
      </x:c>
      <x:c r="B14" s="30" t="str">
        <x:v>Data quality</x:v>
      </x:c>
      <x:c r="C14" s="30" t="str">
        <x:v>Dashboard refresh requires primary-key, foreign-key, row-reconciliation, and formula-error checks.</x:v>
      </x:c>
      <x:c r="D14" s="30" t="str">
        <x:v>Data Analyst</x:v>
      </x:c>
      <x:c r="E14" s="30" t="str">
        <x:v>Validation report</x:v>
      </x:c>
      <x:c r="F14" s="30" t="str">
        <x:v>Any failed critical check</x:v>
      </x:c>
      <x:c r="G14" s="30" t="str">
        <x:v>Do not publish refresh</x:v>
      </x:c>
      <x:c r="H14" s="30" t="str">
        <x:v>Each Refresh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9a35854f4ea7494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6" hidden="0" customWidth="1"/>
    <x:col min="3" max="3" width="16" hidden="0" customWidth="1"/>
    <x:col min="4" max="4" width="34" hidden="0" customWidth="1"/>
    <x:col min="5" max="5" width="38" hidden="0" customWidth="1"/>
    <x:col min="6" max="6" width="30" hidden="0" customWidth="1"/>
    <x:col min="7" max="7" width="14" hidden="0" customWidth="1"/>
    <x:col min="8" max="8" width="48" hidden="0" customWidth="1"/>
    <x:col min="9" max="9" width="42" hidden="0" customWidth="1"/>
  </x:cols>
  <x:sheetData>
    <x:row r="1" ht="32" customHeight="1">
      <x:c r="A1" s="5" t="str">
        <x:v>Automation and Alert Plan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The alert design is implementation-ready but does not create a live scheduled service by itself.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5">
      <x:c r="A5" s="22" t="str">
        <x:v>Alert ID</x:v>
      </x:c>
      <x:c r="B5" s="22" t="str">
        <x:v>Condition</x:v>
      </x:c>
      <x:c r="C5" s="22" t="str">
        <x:v>Frequency</x:v>
      </x:c>
      <x:c r="D5" s="22" t="str">
        <x:v>Audience</x:v>
      </x:c>
      <x:c r="E5" s="22" t="str">
        <x:v>Source</x:v>
      </x:c>
      <x:c r="F5" s="22" t="str">
        <x:v>Output</x:v>
      </x:c>
      <x:c r="G5" s="22" t="str">
        <x:v>Severity</x:v>
      </x:c>
      <x:c r="H5" s="22" t="str">
        <x:v>Suppression / Deduplication</x:v>
      </x:c>
      <x:c r="I5" s="22" t="str">
        <x:v>Action</x:v>
      </x:c>
    </x:row>
    <x:row r="6" ht="54" customHeight="1">
      <x:c r="A6" s="30" t="str">
        <x:v>ALT-001</x:v>
      </x:c>
      <x:c r="B6" s="30" t="str">
        <x:v>Project Workflow_Health = Red</x:v>
      </x:c>
      <x:c r="C6" s="30" t="str">
        <x:v>Daily</x:v>
      </x:c>
      <x:c r="D6" s="30" t="str">
        <x:v>Executive sponsor, controls lead, PM</x:v>
      </x:c>
      <x:c r="E6" s="30" t="str">
        <x:v>project_workflow_risk_summary.csv</x:v>
      </x:c>
      <x:c r="F6" s="30" t="str">
        <x:v>Red project alert</x:v>
      </x:c>
      <x:c r="G6" s="30" t="str">
        <x:v>Critical</x:v>
      </x:c>
      <x:c r="H6" s="30" t="str">
        <x:v>One alert per project per day unless score worsens</x:v>
      </x:c>
      <x:c r="I6" s="30" t="str">
        <x:v>Open or update recovery plan</x:v>
      </x:c>
    </x:row>
    <x:row r="7" ht="54" customHeight="1">
      <x:c r="A7" s="30" t="str">
        <x:v>ALT-002</x:v>
      </x:c>
      <x:c r="B7" s="30" t="str">
        <x:v>High/Critical RFI is overdue &gt;7 days</x:v>
      </x:c>
      <x:c r="C7" s="30" t="str">
        <x:v>Daily</x:v>
      </x:c>
      <x:c r="D7" s="30" t="str">
        <x:v>Design manager, PM</x:v>
      </x:c>
      <x:c r="E7" s="30" t="str">
        <x:v>rfi_log_clean.csv</x:v>
      </x:c>
      <x:c r="F7" s="30" t="str">
        <x:v>RFI escalation alert</x:v>
      </x:c>
      <x:c r="G7" s="30" t="str">
        <x:v>Critical</x:v>
      </x:c>
      <x:c r="H7" s="30" t="str">
        <x:v>Suppress after owner and due date are confirmed for 24 hours</x:v>
      </x:c>
      <x:c r="I7" s="30" t="str">
        <x:v>Obtain response or executive decision</x:v>
      </x:c>
    </x:row>
    <x:row r="8" ht="54" customHeight="1">
      <x:c r="A8" s="30" t="str">
        <x:v>ALT-003</x:v>
      </x:c>
      <x:c r="B8" s="30" t="str">
        <x:v>Open RFI overdue and field work affected</x:v>
      </x:c>
      <x:c r="C8" s="30" t="str">
        <x:v>Daily</x:v>
      </x:c>
      <x:c r="D8" s="30" t="str">
        <x:v>Superintendent, design manager, PM</x:v>
      </x:c>
      <x:c r="E8" s="30" t="str">
        <x:v>rfi_log_clean.csv</x:v>
      </x:c>
      <x:c r="F8" s="30" t="str">
        <x:v>Field-impact RFI alert</x:v>
      </x:c>
      <x:c r="G8" s="30" t="str">
        <x:v>Critical</x:v>
      </x:c>
      <x:c r="H8" s="30" t="str">
        <x:v>One per RFI per day</x:v>
      </x:c>
      <x:c r="I8" s="30" t="str">
        <x:v>Protect sequence and assign decision</x:v>
      </x:c>
    </x:row>
    <x:row r="9" ht="54" customHeight="1">
      <x:c r="A9" s="30" t="str">
        <x:v>ALT-004</x:v>
      </x:c>
      <x:c r="B9" s="30" t="str">
        <x:v>Pending change age &gt;35 days</x:v>
      </x:c>
      <x:c r="C9" s="30" t="str">
        <x:v>Twice Weekly</x:v>
      </x:c>
      <x:c r="D9" s="30" t="str">
        <x:v>Change manager, owner rep, PM</x:v>
      </x:c>
      <x:c r="E9" s="30" t="str">
        <x:v>change_orders_clean.csv</x:v>
      </x:c>
      <x:c r="F9" s="30" t="str">
        <x:v>Old pending change alert</x:v>
      </x:c>
      <x:c r="G9" s="30" t="str">
        <x:v>High</x:v>
      </x:c>
      <x:c r="H9" s="30" t="str">
        <x:v>One per item per review cycle</x:v>
      </x:c>
      <x:c r="I9" s="30" t="str">
        <x:v>Decide, negotiate, or document disposition</x:v>
      </x:c>
    </x:row>
    <x:row r="10" ht="54" customHeight="1">
      <x:c r="A10" s="30" t="str">
        <x:v>ALT-005</x:v>
      </x:c>
      <x:c r="B10" s="30" t="str">
        <x:v>Pending exposure &gt;1.5% of project budget</x:v>
      </x:c>
      <x:c r="C10" s="30" t="str">
        <x:v>Weekly</x:v>
      </x:c>
      <x:c r="D10" s="30" t="str">
        <x:v>Executive sponsor, PM, controls</x:v>
      </x:c>
      <x:c r="E10" s="30" t="str">
        <x:v>project_workflow_risk_summary.csv</x:v>
      </x:c>
      <x:c r="F10" s="30" t="str">
        <x:v>Commercial exposure alert</x:v>
      </x:c>
      <x:c r="G10" s="30" t="str">
        <x:v>Critical</x:v>
      </x:c>
      <x:c r="H10" s="30" t="str">
        <x:v>Alert only on threshold crossing or weekly unresolved</x:v>
      </x:c>
      <x:c r="I10" s="30" t="str">
        <x:v>Approve exposure plan</x:v>
      </x:c>
    </x:row>
    <x:row r="11" ht="54" customHeight="1">
      <x:c r="A11" s="30" t="str">
        <x:v>ALT-006</x:v>
      </x:c>
      <x:c r="B11" s="30" t="str">
        <x:v>Approved change not incorporated or lag &gt;5 days</x:v>
      </x:c>
      <x:c r="C11" s="30" t="str">
        <x:v>Weekly</x:v>
      </x:c>
      <x:c r="D11" s="30" t="str">
        <x:v>Controls lead, cost manager, PM</x:v>
      </x:c>
      <x:c r="E11" s="30" t="str">
        <x:v>change_orders_clean.csv</x:v>
      </x:c>
      <x:c r="F11" s="30" t="str">
        <x:v>Forecast control alert</x:v>
      </x:c>
      <x:c r="G11" s="30" t="str">
        <x:v>High</x:v>
      </x:c>
      <x:c r="H11" s="30" t="str">
        <x:v>Suppress when reconciliation evidence exists</x:v>
      </x:c>
      <x:c r="I11" s="30" t="str">
        <x:v>Update forecast</x:v>
      </x:c>
    </x:row>
    <x:row r="12" ht="54" customHeight="1">
      <x:c r="A12" s="30" t="str">
        <x:v>ALT-007</x:v>
      </x:c>
      <x:c r="B12" s="30" t="str">
        <x:v>Revision-loop count exceeds project threshold</x:v>
      </x:c>
      <x:c r="C12" s="30" t="str">
        <x:v>Weekly</x:v>
      </x:c>
      <x:c r="D12" s="30" t="str">
        <x:v>Design manager, change manager</x:v>
      </x:c>
      <x:c r="E12" s="30" t="str">
        <x:v>project_workflow_risk_summary.csv</x:v>
      </x:c>
      <x:c r="F12" s="30" t="str">
        <x:v>Workflow quality alert</x:v>
      </x:c>
      <x:c r="G12" s="30" t="str">
        <x:v>Medium</x:v>
      </x:c>
      <x:c r="H12" s="30" t="str">
        <x:v>Alert on increase or monthly unresolved</x:v>
      </x:c>
      <x:c r="I12" s="30" t="str">
        <x:v>Perform root-cause review</x:v>
      </x:c>
    </x:row>
    <x:row r="13" ht="54" customHeight="1">
      <x:c r="A13" s="30" t="str">
        <x:v>ALT-008</x:v>
      </x:c>
      <x:c r="B13" s="30" t="str">
        <x:v>Data quality or row reconciliation fails</x:v>
      </x:c>
      <x:c r="C13" s="30" t="str">
        <x:v>Each Refresh</x:v>
      </x:c>
      <x:c r="D13" s="30" t="str">
        <x:v>Data analyst, controls lead</x:v>
      </x:c>
      <x:c r="E13" s="30" t="str">
        <x:v>process validation outputs</x:v>
      </x:c>
      <x:c r="F13" s="30" t="str">
        <x:v>Refresh failure alert</x:v>
      </x:c>
      <x:c r="G13" s="30" t="str">
        <x:v>Critical</x:v>
      </x:c>
      <x:c r="H13" s="30" t="str">
        <x:v>One alert per failed run</x:v>
      </x:c>
      <x:c r="I13" s="30" t="str">
        <x:v>Stop publication and correct data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ddb5fd795d7c4ab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2" hidden="0" customWidth="1"/>
    <x:col min="8" max="8" width="16" hidden="0" customWidth="1"/>
    <x:col min="9" max="9" width="16" hidden="0" customWidth="1"/>
  </x:cols>
  <x:sheetData>
    <x:row r="1" ht="32" customHeight="1">
      <x:c r="A1" s="5" t="str">
        <x:v>RACI Matrix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R = Responsible, A = Accountable, C = Consulted, I = Informed.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5">
      <x:c r="A5" s="22" t="str">
        <x:v>Activity</x:v>
      </x:c>
      <x:c r="B5" s="22" t="str">
        <x:v>Executive Sponsor</x:v>
      </x:c>
      <x:c r="C5" s="22" t="str">
        <x:v>Project Manager</x:v>
      </x:c>
      <x:c r="D5" s="22" t="str">
        <x:v>Project Controls Lead</x:v>
      </x:c>
      <x:c r="E5" s="22" t="str">
        <x:v>Design Manager</x:v>
      </x:c>
      <x:c r="F5" s="22" t="str">
        <x:v>Change Manager</x:v>
      </x:c>
      <x:c r="G5" s="22" t="str">
        <x:v>Owner Representative</x:v>
      </x:c>
      <x:c r="H5" s="22" t="str">
        <x:v>Data Analyst</x:v>
      </x:c>
      <x:c r="I5" s="22" t="str">
        <x:v>Superintendent</x:v>
      </x:c>
    </x:row>
    <x:row r="6">
      <x:c r="A6" s="30" t="str">
        <x:v>Top-10 project recovery</x:v>
      </x:c>
      <x:c r="B6" s="286" t="str">
        <x:v>A</x:v>
      </x:c>
      <x:c r="C6" s="286" t="str">
        <x:v>R</x:v>
      </x:c>
      <x:c r="D6" s="286" t="str">
        <x:v>R</x:v>
      </x:c>
      <x:c r="E6" s="286" t="str">
        <x:v>C</x:v>
      </x:c>
      <x:c r="F6" s="286" t="str">
        <x:v>C</x:v>
      </x:c>
      <x:c r="G6" s="286" t="str">
        <x:v>I</x:v>
      </x:c>
      <x:c r="H6" s="286" t="str">
        <x:v>I</x:v>
      </x:c>
      <x:c r="I6" s="286" t="str">
        <x:v>C</x:v>
      </x:c>
    </x:row>
    <x:row r="7">
      <x:c r="A7" s="30" t="str">
        <x:v>High/Critical RFI resolution</x:v>
      </x:c>
      <x:c r="B7" s="286" t="str">
        <x:v>I</x:v>
      </x:c>
      <x:c r="C7" s="286" t="str">
        <x:v>A</x:v>
      </x:c>
      <x:c r="D7" s="286" t="str">
        <x:v>C</x:v>
      </x:c>
      <x:c r="E7" s="286" t="str">
        <x:v>R</x:v>
      </x:c>
      <x:c r="F7" s="286" t="str">
        <x:v>I</x:v>
      </x:c>
      <x:c r="G7" s="286" t="str">
        <x:v>C</x:v>
      </x:c>
      <x:c r="H7" s="286" t="str">
        <x:v>I</x:v>
      </x:c>
      <x:c r="I7" s="286" t="str">
        <x:v>C</x:v>
      </x:c>
    </x:row>
    <x:row r="8">
      <x:c r="A8" s="30" t="str">
        <x:v>RFI response standards</x:v>
      </x:c>
      <x:c r="B8" s="286" t="str">
        <x:v>I</x:v>
      </x:c>
      <x:c r="C8" s="286" t="str">
        <x:v>C</x:v>
      </x:c>
      <x:c r="D8" s="286" t="str">
        <x:v>C</x:v>
      </x:c>
      <x:c r="E8" s="286" t="str">
        <x:v>A/R</x:v>
      </x:c>
      <x:c r="F8" s="286" t="str">
        <x:v>I</x:v>
      </x:c>
      <x:c r="G8" s="286" t="str">
        <x:v>C</x:v>
      </x:c>
      <x:c r="H8" s="286" t="str">
        <x:v>I</x:v>
      </x:c>
      <x:c r="I8" s="286" t="str">
        <x:v>C</x:v>
      </x:c>
    </x:row>
    <x:row r="9">
      <x:c r="A9" s="30" t="str">
        <x:v>Change aging board</x:v>
      </x:c>
      <x:c r="B9" s="286" t="str">
        <x:v>I</x:v>
      </x:c>
      <x:c r="C9" s="286" t="str">
        <x:v>C</x:v>
      </x:c>
      <x:c r="D9" s="286" t="str">
        <x:v>C</x:v>
      </x:c>
      <x:c r="E9" s="286" t="str">
        <x:v>I</x:v>
      </x:c>
      <x:c r="F9" s="286" t="str">
        <x:v>A/R</x:v>
      </x:c>
      <x:c r="G9" s="286" t="str">
        <x:v>R</x:v>
      </x:c>
      <x:c r="H9" s="286" t="str">
        <x:v>I</x:v>
      </x:c>
      <x:c r="I9" s="286" t="str">
        <x:v>I</x:v>
      </x:c>
    </x:row>
    <x:row r="10">
      <x:c r="A10" s="30" t="str">
        <x:v>Forecast incorporation</x:v>
      </x:c>
      <x:c r="B10" s="286" t="str">
        <x:v>I</x:v>
      </x:c>
      <x:c r="C10" s="286" t="str">
        <x:v>A</x:v>
      </x:c>
      <x:c r="D10" s="286" t="str">
        <x:v>R</x:v>
      </x:c>
      <x:c r="E10" s="286" t="str">
        <x:v>I</x:v>
      </x:c>
      <x:c r="F10" s="286" t="str">
        <x:v>C</x:v>
      </x:c>
      <x:c r="G10" s="286" t="str">
        <x:v>I</x:v>
      </x:c>
      <x:c r="H10" s="286" t="str">
        <x:v>I</x:v>
      </x:c>
      <x:c r="I10" s="286" t="str">
        <x:v>I</x:v>
      </x:c>
    </x:row>
    <x:row r="11">
      <x:c r="A11" s="30" t="str">
        <x:v>Weekly portfolio dashboard</x:v>
      </x:c>
      <x:c r="B11" s="286" t="str">
        <x:v>I</x:v>
      </x:c>
      <x:c r="C11" s="286" t="str">
        <x:v>C</x:v>
      </x:c>
      <x:c r="D11" s="286" t="str">
        <x:v>A/R</x:v>
      </x:c>
      <x:c r="E11" s="286" t="str">
        <x:v>C</x:v>
      </x:c>
      <x:c r="F11" s="286" t="str">
        <x:v>C</x:v>
      </x:c>
      <x:c r="G11" s="286" t="str">
        <x:v>I</x:v>
      </x:c>
      <x:c r="H11" s="286" t="str">
        <x:v>R</x:v>
      </x:c>
      <x:c r="I11" s="286" t="str">
        <x:v>I</x:v>
      </x:c>
    </x:row>
    <x:row r="12">
      <x:c r="A12" s="30" t="str">
        <x:v>Automated exception alerts</x:v>
      </x:c>
      <x:c r="B12" s="286" t="str">
        <x:v>I</x:v>
      </x:c>
      <x:c r="C12" s="286" t="str">
        <x:v>I</x:v>
      </x:c>
      <x:c r="D12" s="286" t="str">
        <x:v>A</x:v>
      </x:c>
      <x:c r="E12" s="286" t="str">
        <x:v>C</x:v>
      </x:c>
      <x:c r="F12" s="286" t="str">
        <x:v>C</x:v>
      </x:c>
      <x:c r="G12" s="286" t="str">
        <x:v>I</x:v>
      </x:c>
      <x:c r="H12" s="286" t="str">
        <x:v>R</x:v>
      </x:c>
      <x:c r="I12" s="286" t="str">
        <x:v>I</x:v>
      </x:c>
    </x:row>
    <x:row r="13">
      <x:c r="A13" s="30" t="str">
        <x:v>Benefits realization</x:v>
      </x:c>
      <x:c r="B13" s="286" t="str">
        <x:v>A</x:v>
      </x:c>
      <x:c r="C13" s="286" t="str">
        <x:v>C</x:v>
      </x:c>
      <x:c r="D13" s="286" t="str">
        <x:v>R</x:v>
      </x:c>
      <x:c r="E13" s="286" t="str">
        <x:v>C</x:v>
      </x:c>
      <x:c r="F13" s="286" t="str">
        <x:v>C</x:v>
      </x:c>
      <x:c r="G13" s="286" t="str">
        <x:v>I</x:v>
      </x:c>
      <x:c r="H13" s="286" t="str">
        <x:v>R</x:v>
      </x:c>
      <x:c r="I13" s="286" t="str">
        <x:v>I</x:v>
      </x:c>
    </x:row>
    <x:row r="14">
      <x:c r="A14" s="30" t="str">
        <x:v>Threshold and methodology review</x:v>
      </x:c>
      <x:c r="B14" s="286" t="str">
        <x:v>A</x:v>
      </x:c>
      <x:c r="C14" s="286" t="str">
        <x:v>C</x:v>
      </x:c>
      <x:c r="D14" s="286" t="str">
        <x:v>R</x:v>
      </x:c>
      <x:c r="E14" s="286" t="str">
        <x:v>C</x:v>
      </x:c>
      <x:c r="F14" s="286" t="str">
        <x:v>C</x:v>
      </x:c>
      <x:c r="G14" s="286" t="str">
        <x:v>I</x:v>
      </x:c>
      <x:c r="H14" s="286" t="str">
        <x:v>R</x:v>
      </x:c>
      <x:c r="I14" s="286" t="str">
        <x:v>I</x:v>
      </x:c>
    </x:row>
    <x:row r="15">
      <x:c r="A15" s="30" t="str">
        <x:v>Model governance</x:v>
      </x:c>
      <x:c r="B15" s="286" t="str">
        <x:v>A</x:v>
      </x:c>
      <x:c r="C15" s="286" t="str">
        <x:v>I</x:v>
      </x:c>
      <x:c r="D15" s="286" t="str">
        <x:v>C</x:v>
      </x:c>
      <x:c r="E15" s="286" t="str">
        <x:v>I</x:v>
      </x:c>
      <x:c r="F15" s="286" t="str">
        <x:v>I</x:v>
      </x:c>
      <x:c r="G15" s="286" t="str">
        <x:v>I</x:v>
      </x:c>
      <x:c r="H15" s="286" t="str">
        <x:v>R</x:v>
      </x:c>
      <x:c r="I15" s="286" t="str">
        <x:v>I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821aab20a66d4c1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24" hidden="0" customWidth="1"/>
    <x:col min="11" max="11" width="30" hidden="0" customWidth="1"/>
  </x:cols>
  <x:sheetData>
    <x:row r="1" ht="32" customHeight="1">
      <x:c r="A1" s="5" t="str">
        <x:v>Benefits Realization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Measure realized performance against the validated baseline; do not claim benefits before evidence exists.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5">
      <x:c r="A5" s="22" t="str">
        <x:v>Benefit ID</x:v>
      </x:c>
      <x:c r="B5" s="22" t="str">
        <x:v>Measure</x:v>
      </x:c>
      <x:c r="C5" s="22" t="str">
        <x:v>Baseline</x:v>
      </x:c>
      <x:c r="D5" s="22" t="str">
        <x:v>30-Day Actual</x:v>
      </x:c>
      <x:c r="E5" s="22" t="str">
        <x:v>60-Day Actual</x:v>
      </x:c>
      <x:c r="F5" s="22" t="str">
        <x:v>90-Day Actual</x:v>
      </x:c>
      <x:c r="G5" s="22" t="str">
        <x:v>90-Day Target</x:v>
      </x:c>
      <x:c r="H5" s="22" t="str">
        <x:v>Variance to Target</x:v>
      </x:c>
      <x:c r="I5" s="22" t="str">
        <x:v>Status</x:v>
      </x:c>
      <x:c r="J5" s="22" t="str">
        <x:v>Owner</x:v>
      </x:c>
      <x:c r="K5" s="22" t="str">
        <x:v>Evidence</x:v>
      </x:c>
    </x:row>
    <x:row r="6">
      <x:c r="A6" s="30" t="str">
        <x:v>BEN-001</x:v>
      </x:c>
      <x:c r="B6" s="30" t="str">
        <x:v>RFI on-time rate</x:v>
      </x:c>
      <x:c r="C6" s="34" t="n">
        <x:v>0.4568</x:v>
      </x:c>
      <x:c r="D6" s="34"/>
      <x:c r="E6" s="34"/>
      <x:c r="F6" s="34"/>
      <x:c r="G6" s="34" t="n">
        <x:v>0.7</x:v>
      </x:c>
      <x:c r="H6" s="34" t="str">
        <x:f>IF(F6="","",F6-G6)</x:f>
      </x:c>
      <x:c r="I6" s="30" t="str">
        <x:f>IF(F6="","Not Started",IF(OR(B6="RFI on-time rate",B6="Top-10 action closure rate"),IF(F6&gt;=G6,"Complete","In Progress"),IF(F6&lt;=G6,"Complete","In Progress")))</x:f>
        <x:v>Not Started</x:v>
      </x:c>
      <x:c r="J6" s="30" t="str">
        <x:v>Design Manager</x:v>
      </x:c>
      <x:c r="K6" s="30" t="str">
        <x:v>Weekly RFI KPI</x:v>
      </x:c>
    </x:row>
    <x:row r="7">
      <x:c r="A7" s="30" t="str">
        <x:v>BEN-002</x:v>
      </x:c>
      <x:c r="B7" s="30" t="str">
        <x:v>Average RFI response days</x:v>
      </x:c>
      <x:c r="C7" s="30" t="n">
        <x:v>12.21</x:v>
      </x:c>
      <x:c r="D7" s="30"/>
      <x:c r="E7" s="30"/>
      <x:c r="F7" s="30"/>
      <x:c r="G7" s="30" t="n">
        <x:v>10</x:v>
      </x:c>
      <x:c r="H7" s="30" t="str">
        <x:f>IF(F7="","",F7-G7)</x:f>
      </x:c>
      <x:c r="I7" s="30" t="str">
        <x:f>IF(F7="","Not Started",IF(OR(B7="RFI on-time rate",B7="Top-10 action closure rate"),IF(F7&gt;=G7,"Complete","In Progress"),IF(F7&lt;=G7,"Complete","In Progress")))</x:f>
        <x:v>Not Started</x:v>
      </x:c>
      <x:c r="J7" s="30" t="str">
        <x:v>Design Manager</x:v>
      </x:c>
      <x:c r="K7" s="30" t="str">
        <x:v>Weekly RFI KPI</x:v>
      </x:c>
    </x:row>
    <x:row r="8">
      <x:c r="A8" s="30" t="str">
        <x:v>BEN-003</x:v>
      </x:c>
      <x:c r="B8" s="30" t="str">
        <x:v>Average change approval days</x:v>
      </x:c>
      <x:c r="C8" s="30" t="n">
        <x:v>28.91</x:v>
      </x:c>
      <x:c r="D8" s="30"/>
      <x:c r="E8" s="30"/>
      <x:c r="F8" s="30"/>
      <x:c r="G8" s="30" t="n">
        <x:v>24</x:v>
      </x:c>
      <x:c r="H8" s="30" t="str">
        <x:f>IF(F8="","",F8-G8)</x:f>
      </x:c>
      <x:c r="I8" s="30" t="str">
        <x:f>IF(F8="","Not Started",IF(OR(B8="RFI on-time rate",B8="Top-10 action closure rate"),IF(F8&gt;=G8,"Complete","In Progress"),IF(F8&lt;=G8,"Complete","In Progress")))</x:f>
        <x:v>Not Started</x:v>
      </x:c>
      <x:c r="J8" s="30" t="str">
        <x:v>Change Manager</x:v>
      </x:c>
      <x:c r="K8" s="30" t="str">
        <x:v>Change cycle trend</x:v>
      </x:c>
    </x:row>
    <x:row r="9">
      <x:c r="A9" s="30" t="str">
        <x:v>BEN-004</x:v>
      </x:c>
      <x:c r="B9" s="30" t="str">
        <x:v>Pending change exposure</x:v>
      </x:c>
      <x:c r="C9" s="36" t="n">
        <x:v>88104000</x:v>
      </x:c>
      <x:c r="D9" s="36"/>
      <x:c r="E9" s="36"/>
      <x:c r="F9" s="36"/>
      <x:c r="G9" s="36" t="n">
        <x:v>66078000</x:v>
      </x:c>
      <x:c r="H9" s="36" t="str">
        <x:f>IF(F9="","",F9-G9)</x:f>
      </x:c>
      <x:c r="I9" s="30" t="str">
        <x:f>IF(F9="","Not Started",IF(OR(B9="RFI on-time rate",B9="Top-10 action closure rate"),IF(F9&gt;=G9,"Complete","In Progress"),IF(F9&lt;=G9,"Complete","In Progress")))</x:f>
        <x:v>Not Started</x:v>
      </x:c>
      <x:c r="J9" s="30" t="str">
        <x:v>Change Manager</x:v>
      </x:c>
      <x:c r="K9" s="30" t="str">
        <x:v>Change aging report</x:v>
      </x:c>
    </x:row>
    <x:row r="10">
      <x:c r="A10" s="30" t="str">
        <x:v>BEN-005</x:v>
      </x:c>
      <x:c r="B10" s="30" t="str">
        <x:v>Overdue open RFIs</x:v>
      </x:c>
      <x:c r="C10" s="30" t="n">
        <x:v>295</x:v>
      </x:c>
      <x:c r="D10" s="30"/>
      <x:c r="E10" s="30"/>
      <x:c r="F10" s="30"/>
      <x:c r="G10" s="30" t="n">
        <x:v>148</x:v>
      </x:c>
      <x:c r="H10" s="30" t="str">
        <x:f>IF(F10="","",F10-G10)</x:f>
      </x:c>
      <x:c r="I10" s="30" t="str">
        <x:f>IF(F10="","Not Started",IF(OR(B10="RFI on-time rate",B10="Top-10 action closure rate"),IF(F10&gt;=G10,"Complete","In Progress"),IF(F10&lt;=G10,"Complete","In Progress")))</x:f>
        <x:v>Not Started</x:v>
      </x:c>
      <x:c r="J10" s="30" t="str">
        <x:v>Design Manager</x:v>
      </x:c>
      <x:c r="K10" s="30" t="str">
        <x:v>RFI exception report</x:v>
      </x:c>
    </x:row>
    <x:row r="11">
      <x:c r="A11" s="30" t="str">
        <x:v>BEN-006</x:v>
      </x:c>
      <x:c r="B11" s="30" t="str">
        <x:v>Forecast incorporation lag days</x:v>
      </x:c>
      <x:c r="C11" s="30" t="n">
        <x:v>6.58</x:v>
      </x:c>
      <x:c r="D11" s="30"/>
      <x:c r="E11" s="30"/>
      <x:c r="F11" s="30"/>
      <x:c r="G11" s="30" t="n">
        <x:v>5</x:v>
      </x:c>
      <x:c r="H11" s="30" t="str">
        <x:f>IF(F11="","",F11-G11)</x:f>
      </x:c>
      <x:c r="I11" s="30" t="str">
        <x:f>IF(F11="","Not Started",IF(OR(B11="RFI on-time rate",B11="Top-10 action closure rate"),IF(F11&gt;=G11,"Complete","In Progress"),IF(F11&lt;=G11,"Complete","In Progress")))</x:f>
        <x:v>Not Started</x:v>
      </x:c>
      <x:c r="J11" s="30" t="str">
        <x:v>Project Controls Lead</x:v>
      </x:c>
      <x:c r="K11" s="30" t="str">
        <x:v>Forecast reconciliation</x:v>
      </x:c>
    </x:row>
    <x:row r="12">
      <x:c r="A12" s="30" t="str">
        <x:v>BEN-007</x:v>
      </x:c>
      <x:c r="B12" s="30" t="str">
        <x:v>Red projects</x:v>
      </x:c>
      <x:c r="C12" s="30" t="n">
        <x:v>29</x:v>
      </x:c>
      <x:c r="D12" s="30"/>
      <x:c r="E12" s="30"/>
      <x:c r="F12" s="30"/>
      <x:c r="G12" s="30" t="n">
        <x:v>18</x:v>
      </x:c>
      <x:c r="H12" s="30" t="str">
        <x:f>IF(F12="","",F12-G12)</x:f>
      </x:c>
      <x:c r="I12" s="30" t="str">
        <x:f>IF(F12="","Not Started",IF(OR(B12="RFI on-time rate",B12="Top-10 action closure rate"),IF(F12&gt;=G12,"Complete","In Progress"),IF(F12&lt;=G12,"Complete","In Progress")))</x:f>
        <x:v>Not Started</x:v>
      </x:c>
      <x:c r="J12" s="30" t="str">
        <x:v>Executive Sponsor</x:v>
      </x:c>
      <x:c r="K12" s="30" t="str">
        <x:v>Project health dashboard</x:v>
      </x:c>
    </x:row>
    <x:row r="13">
      <x:c r="A13" s="30" t="str">
        <x:v>BEN-008</x:v>
      </x:c>
      <x:c r="B13" s="30" t="str">
        <x:v>Top-10 action closure rate</x:v>
      </x:c>
      <x:c r="C13" s="34" t="n">
        <x:v>0</x:v>
      </x:c>
      <x:c r="D13" s="34"/>
      <x:c r="E13" s="34"/>
      <x:c r="F13" s="34"/>
      <x:c r="G13" s="34" t="n">
        <x:v>0.75</x:v>
      </x:c>
      <x:c r="H13" s="34" t="str">
        <x:f>IF(F13="","",F13-G13)</x:f>
      </x:c>
      <x:c r="I13" s="30" t="str">
        <x:f>IF(F13="","Not Started",IF(OR(B13="RFI on-time rate",B13="Top-10 action closure rate"),IF(F13&gt;=G13,"Complete","In Progress"),IF(F13&lt;=G13,"Complete","In Progress")))</x:f>
        <x:v>Not Started</x:v>
      </x:c>
      <x:c r="J13" s="30" t="str">
        <x:v>Project Manager</x:v>
      </x:c>
      <x:c r="K13" s="30" t="str">
        <x:v>Action register</x:v>
      </x:c>
    </x:row>
  </x:sheetData>
  <x:mergeCells>
    <x:mergeCell ref="A1:K1"/>
    <x:mergeCell ref="A2:K3"/>
  </x:mergeCells>
  <x:conditionalFormatting sqref="I6:I13">
    <x:cfRule type="expression" dxfId="5" priority="1">
      <x:formula>I6="Complete"</x:formula>
    </x:cfRule>
    <x:cfRule type="expression" dxfId="6" priority="2">
      <x:formula>I6="In Progress"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385de08c6e422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96" hidden="0" customWidth="1"/>
    <x:col min="4" max="4" width="44" hidden="0" customWidth="1"/>
  </x:cols>
  <x:sheetData>
    <x:row r="1" ht="32" customHeight="1">
      <x:c r="A1" s="5" t="str">
        <x:v>Sources and Methodology</x:v>
      </x:c>
      <x:c r="B1" s="5"/>
      <x:c r="C1" s="5"/>
      <x:c r="D1" s="5"/>
    </x:row>
    <x:row r="2">
      <x:c r="A2" s="13" t="str">
        <x:v>Project sources and professional lifecycle terminology used in the Act phase.</x:v>
      </x:c>
      <x:c r="B2" s="13"/>
      <x:c r="C2" s="13"/>
      <x:c r="D2" s="13"/>
    </x:row>
    <x:row r="3">
      <x:c r="A3" s="13"/>
      <x:c r="B3" s="13"/>
      <x:c r="C3" s="13"/>
      <x:c r="D3" s="13"/>
    </x:row>
    <x:row r="5">
      <x:c r="A5" s="22" t="str">
        <x:v>Source Type</x:v>
      </x:c>
      <x:c r="B5" s="22" t="str">
        <x:v>Source</x:v>
      </x:c>
      <x:c r="C5" s="22" t="str">
        <x:v>Location / URL</x:v>
      </x:c>
      <x:c r="D5" s="22" t="str">
        <x:v>Use</x:v>
      </x:c>
    </x:row>
    <x:row r="6">
      <x:c r="A6" s="30" t="str">
        <x:v>Project data</x:v>
      </x:c>
      <x:c r="B6" s="30" t="str">
        <x:v>Executive KPI table</x:v>
      </x:c>
      <x:c r="C6" s="30" t="str">
        <x:v>analysis/tables/executive_kpis.csv</x:v>
      </x:c>
      <x:c r="D6" s="30" t="str">
        <x:v>Baseline KPI values</x:v>
      </x:c>
    </x:row>
    <x:row r="7">
      <x:c r="A7" s="30" t="str">
        <x:v>Project data</x:v>
      </x:c>
      <x:c r="B7" s="30" t="str">
        <x:v>Project workflow risk summary</x:v>
      </x:c>
      <x:c r="C7" s="30" t="str">
        <x:v>analysis/tables/project_workflow_risk_summary.csv</x:v>
      </x:c>
      <x:c r="D7" s="30" t="str">
        <x:v>Project prioritization</x:v>
      </x:c>
    </x:row>
    <x:row r="8">
      <x:c r="A8" s="30" t="str">
        <x:v>Project data</x:v>
      </x:c>
      <x:c r="B8" s="30" t="str">
        <x:v>Top 10 priority projects</x:v>
      </x:c>
      <x:c r="C8" s="30" t="str">
        <x:v>analysis/tables/top_10_priority_projects.csv</x:v>
      </x:c>
      <x:c r="D8" s="30" t="str">
        <x:v>Project recovery actions</x:v>
      </x:c>
    </x:row>
    <x:row r="9">
      <x:c r="A9" s="30" t="str">
        <x:v>Project data</x:v>
      </x:c>
      <x:c r="B9" s="30" t="str">
        <x:v>Workflow bottleneck summary</x:v>
      </x:c>
      <x:c r="C9" s="30" t="str">
        <x:v>analysis/tables/workflow_bottleneck_summary.csv</x:v>
      </x:c>
      <x:c r="D9" s="30" t="str">
        <x:v>Workflow controls</x:v>
      </x:c>
    </x:row>
    <x:row r="10">
      <x:c r="A10" s="30" t="str">
        <x:v>Project data</x:v>
      </x:c>
      <x:c r="B10" s="30" t="str">
        <x:v>Change category summary</x:v>
      </x:c>
      <x:c r="C10" s="30" t="str">
        <x:v>analysis/tables/change_category_summary.csv</x:v>
      </x:c>
      <x:c r="D10" s="30" t="str">
        <x:v>Commercial priorities</x:v>
      </x:c>
    </x:row>
    <x:row r="11">
      <x:c r="A11" s="30" t="str">
        <x:v>Project data</x:v>
      </x:c>
      <x:c r="B11" s="30" t="str">
        <x:v>RFI discipline summary</x:v>
      </x:c>
      <x:c r="C11" s="30" t="str">
        <x:v>analysis/tables/rfi_discipline_summary.csv</x:v>
      </x:c>
      <x:c r="D11" s="30" t="str">
        <x:v>Discipline priorities</x:v>
      </x:c>
    </x:row>
    <x:row r="12">
      <x:c r="A12" s="30" t="str">
        <x:v>Methodology</x:v>
      </x:c>
      <x:c r="B12" s="30" t="str">
        <x:v>IBM CRISP-DM overview</x:v>
      </x:c>
      <x:c r="C12" s="30" t="str">
        <x:v>https://www.ibm.com/docs/en/spss-modeler/18.6.0?topic=dm-crisp-help-overview</x:v>
      </x:c>
      <x:c r="D12" s="30" t="str">
        <x:v>Deployment terminology</x:v>
      </x:c>
    </x:row>
    <x:row r="13">
      <x:c r="A13" s="30" t="str">
        <x:v>Methodology</x:v>
      </x:c>
      <x:c r="B13" s="30" t="str">
        <x:v>ASQ DMAIC</x:v>
      </x:c>
      <x:c r="C13" s="30" t="str">
        <x:v>https://asq.org/quality-resources/dmaic</x:v>
      </x:c>
      <x:c r="D13" s="30" t="str">
        <x:v>Improve and Control terminology</x:v>
      </x:c>
    </x:row>
    <x:row r="14">
      <x:c r="A14" s="30" t="str">
        <x:v>Methodology</x:v>
      </x:c>
      <x:c r="B14" s="30" t="str">
        <x:v>Microsoft Data Science Lifecycle</x:v>
      </x:c>
      <x:c r="C14" s="30" t="str">
        <x:v>https://learn.microsoft.com/en-us/shows/dev-intro-to-data-science/what-is-the-data-science-lifecycle-2-of-28</x:v>
      </x:c>
      <x:c r="D14" s="30" t="str">
        <x:v>Deployment and customer acceptance</x:v>
      </x:c>
    </x:row>
    <x:row r="15">
      <x:c r="A15" s="30" t="str">
        <x:v>Methodology</x:v>
      </x:c>
      <x:c r="B15" s="30" t="str">
        <x:v>PMI Process Groups</x:v>
      </x:c>
      <x:c r="C15" s="30" t="str">
        <x:v>https://www.pmi.org/standards/process-groups</x:v>
      </x:c>
      <x:c r="D15" s="30" t="str">
        <x:v>Governance and transition terminology</x:v>
      </x:c>
    </x:row>
    <x:row r="18">
      <x:c r="A18" s="13" t="str">
        <x:v>Synthetic-data disclosure: All project names, organizations, people, budgets, schedules, changes, RFIs, and performance records are fictional. The targets and controls are proposed case-study management actions and are not universal industry standards.</x:v>
      </x:c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</x:sheetData>
  <x:mergeCells>
    <x:mergeCell ref="A1:D1"/>
    <x:mergeCell ref="A2:D3"/>
    <x:mergeCell ref="A18:D22"/>
  </x:mergeCells>
  <x:pageMargins left="0.7" right="0.7" top="0.75" bottom="0.75" header="0.3" footer="0.3"/>
  <x:tableParts count="1">
    <x:tablePart xmlns:r="http://schemas.openxmlformats.org/officeDocument/2006/relationships" r:id="R3e79b5a069724626"/>
  </x:tableParts>
</x:worksheet>
</file>