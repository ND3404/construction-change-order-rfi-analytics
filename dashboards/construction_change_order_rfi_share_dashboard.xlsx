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tables/table17.xml" ContentType="application/vnd.openxmlformats-officedocument.spreadsheetml.table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372523ec9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KPIs" sheetId="1" r:id="R5d3f5131e7224b85"/>
    <x:sheet xmlns:r="http://schemas.openxmlformats.org/officeDocument/2006/relationships" name="Data_Health" sheetId="2" r:id="R4031af8b176b40fd"/>
    <x:sheet xmlns:r="http://schemas.openxmlformats.org/officeDocument/2006/relationships" name="Data_Top10" sheetId="3" r:id="R96b060af6bf04168"/>
    <x:sheet xmlns:r="http://schemas.openxmlformats.org/officeDocument/2006/relationships" name="Data_RFI" sheetId="4" r:id="R1cbb48ba03554785"/>
    <x:sheet xmlns:r="http://schemas.openxmlformats.org/officeDocument/2006/relationships" name="Data_RFI_Type" sheetId="5" r:id="R3d9a4d756c254ad2"/>
    <x:sheet xmlns:r="http://schemas.openxmlformats.org/officeDocument/2006/relationships" name="Data_Change" sheetId="6" r:id="Re2143df859634147"/>
    <x:sheet xmlns:r="http://schemas.openxmlformats.org/officeDocument/2006/relationships" name="Data_Workflow" sheetId="7" r:id="Rcb90a6cecca64582"/>
    <x:sheet xmlns:r="http://schemas.openxmlformats.org/officeDocument/2006/relationships" name="Data_Segments" sheetId="8" r:id="R13c6602b973c4435"/>
    <x:sheet xmlns:r="http://schemas.openxmlformats.org/officeDocument/2006/relationships" name="Executive_Dashboard" sheetId="9" r:id="Rcd5d806b3e7649fe"/>
    <x:sheet xmlns:r="http://schemas.openxmlformats.org/officeDocument/2006/relationships" name="Operational_Dashboard" sheetId="10" r:id="R0e025b171ab74328"/>
    <x:sheet xmlns:r="http://schemas.openxmlformats.org/officeDocument/2006/relationships" name="Project_Priority" sheetId="11" r:id="R1e4ef9dd7dae49ae"/>
    <x:sheet xmlns:r="http://schemas.openxmlformats.org/officeDocument/2006/relationships" name="Sources" sheetId="12" r:id="R168e3963700f49b7"/>
    <x:sheet xmlns:r="http://schemas.openxmlformats.org/officeDocument/2006/relationships" name="Workflow_Analysis" sheetId="13" r:id="R9904457cc826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#,##0"/>
    <x:numFmt numFmtId="202" formatCode="0.0 &quot;days&quot;"/>
    <x:numFmt numFmtId="203" formatCode="0.0%"/>
    <x:numFmt numFmtId="204" formatCode="$#,##0.0,,&quot;M&quot;"/>
    <x:numFmt numFmtId="205" formatCode="0.0"/>
    <x:numFmt numFmtId="206" formatCode="0.00%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0E3557"/>
      <x:name val="Carlito"/>
    </x:font>
    <x:font>
      <x:b/>
      <x:sz val="18"/>
      <x:color rgb="FF071A2C"/>
      <x:name val="Carlito"/>
    </x:font>
    <x:font>
      <x:b/>
      <x:sz val="10"/>
      <x:color rgb="FF0E3557"/>
      <x:name val="Carlito"/>
    </x:font>
    <x:font>
      <x:b/>
      <x:sz val="11"/>
      <x:color rgb="FF9C2E2E"/>
      <x:name val="Carlito"/>
    </x:font>
    <x:font>
      <x:b/>
      <x:sz val="11"/>
      <x:color rgb="FF8A6500"/>
      <x:name val="Carlito"/>
    </x:font>
    <x:font>
      <x:b/>
      <x:sz val="11"/>
      <x:color rgb="FF2F6B3F"/>
      <x:name val="Carlito"/>
    </x:font>
    <x:font>
      <x:b/>
      <x:sz val="12"/>
      <x:color rgb="FFFFFFFF"/>
      <x:name val="Carlito"/>
    </x:font>
    <x:font>
      <x:sz val="11"/>
      <x:color rgb="FF172B3A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55F86"/>
      </x:patternFill>
    </x:fill>
    <x:fill>
      <x:patternFill patternType="solid">
        <x:fgColor rgb="FF071A2C"/>
      </x:patternFill>
    </x:fill>
    <x:fill>
      <x:patternFill patternType="solid">
        <x:fgColor rgb="FFDDF3F8"/>
      </x:patternFill>
    </x:fill>
    <x:fill>
      <x:patternFill patternType="solid">
        <x:fgColor rgb="FFFFFFFF"/>
      </x:patternFill>
    </x:fill>
    <x:fill>
      <x:patternFill patternType="solid">
        <x:fgColor rgb="FFE8F1F7"/>
      </x:patternFill>
    </x:fill>
    <x:fill>
      <x:patternFill patternType="solid">
        <x:fgColor rgb="FFFCE2E0"/>
      </x:patternFill>
    </x:fill>
    <x:fill>
      <x:patternFill patternType="solid">
        <x:fgColor rgb="FFFFF2CC"/>
      </x:patternFill>
    </x:fill>
    <x:fill>
      <x:patternFill patternType="solid">
        <x:fgColor rgb="FFDDEFE2"/>
      </x:patternFill>
    </x:fill>
    <x:fill>
      <x:patternFill patternType="solid">
        <x:fgColor rgb="FF155F86"/>
      </x:patternFill>
    </x:fill>
    <x:fill>
      <x:patternFill patternType="solid">
        <x:fgColor rgb="FFDDF3F8"/>
      </x:patternFill>
    </x:fill>
    <x:fill>
      <x:patternFill patternType="solid">
        <x:fgColor rgb="FF071A2C"/>
      </x:patternFill>
    </x:fill>
    <x:fill>
      <x:patternFill patternType="solid">
        <x:fgColor rgb="FF071A2C"/>
      </x:patternFill>
    </x:fill>
    <x:fill>
      <x:patternFill patternType="solid">
        <x:fgColor rgb="FFDDF3F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0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7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200" fontId="4" fillId="5" borderId="9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200" fontId="4" fillId="5" borderId="10" xfId="0" applyNumberFormat="1" applyFont="1" applyFill="1" applyBorder="1"/>
    <x:xf numFmtId="200" fontId="4" fillId="5" borderId="11" xfId="0" applyNumberFormat="1" applyFont="1" applyFill="1" applyBorder="1"/>
    <x:xf numFmtId="200" fontId="4" fillId="5" borderId="12" xfId="0" applyNumberFormat="1" applyFont="1" applyFill="1" applyBorder="1"/>
    <x:xf numFmtId="200" fontId="4" fillId="5" borderId="13" xfId="0" applyNumberFormat="1" applyFont="1" applyFill="1" applyBorder="1"/>
    <x:xf numFmtId="200" fontId="4" fillId="5" borderId="1" xfId="0" applyNumberFormat="1" applyFont="1" applyFill="1" applyBorder="1"/>
    <x:xf numFmtId="200" fontId="4" fillId="5" borderId="14" xfId="0" applyNumberFormat="1" applyFont="1" applyFill="1" applyBorder="1"/>
    <x:xf numFmtId="200" fontId="4" fillId="5" borderId="15" xfId="0" applyNumberFormat="1" applyFont="1" applyFill="1" applyBorder="1"/>
    <x:xf numFmtId="200" fontId="4" fillId="5" borderId="16" xfId="0" applyNumberFormat="1" applyFont="1" applyFill="1" applyBorder="1"/>
    <x:xf numFmtId="200" fontId="4" fillId="5" borderId="17" xfId="0" applyNumberFormat="1" applyFont="1" applyFill="1" applyBorder="1"/>
    <x:xf numFmtId="200" fontId="4" fillId="5" borderId="10" xfId="0" applyNumberFormat="1" applyFont="1" applyFill="1" applyBorder="1" applyAlignment="1">
      <x:alignment horizontal="center"/>
    </x:xf>
    <x:xf numFmtId="200" fontId="4" fillId="5" borderId="11" xfId="0" applyNumberFormat="1" applyFont="1" applyFill="1" applyBorder="1" applyAlignment="1">
      <x:alignment horizontal="center"/>
    </x:xf>
    <x:xf numFmtId="200" fontId="4" fillId="5" borderId="12" xfId="0" applyNumberFormat="1" applyFont="1" applyFill="1" applyBorder="1" applyAlignment="1">
      <x:alignment horizontal="center"/>
    </x:xf>
    <x:xf numFmtId="200" fontId="4" fillId="5" borderId="13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200" fontId="4" fillId="5" borderId="14" xfId="0" applyNumberFormat="1" applyFont="1" applyFill="1" applyBorder="1" applyAlignment="1">
      <x:alignment horizontal="center"/>
    </x:xf>
    <x:xf numFmtId="200" fontId="4" fillId="5" borderId="15" xfId="0" applyNumberFormat="1" applyFont="1" applyFill="1" applyBorder="1" applyAlignment="1">
      <x:alignment horizontal="center"/>
    </x:xf>
    <x:xf numFmtId="200" fontId="4" fillId="5" borderId="16" xfId="0" applyNumberFormat="1" applyFont="1" applyFill="1" applyBorder="1" applyAlignment="1">
      <x:alignment horizontal="center"/>
    </x:xf>
    <x:xf numFmtId="200" fontId="4" fillId="5" borderId="17" xfId="0" applyNumberFormat="1" applyFont="1" applyFill="1" applyBorder="1" applyAlignment="1">
      <x:alignment horizontal="center"/>
    </x:xf>
    <x:xf numFmtId="200" fontId="4" fillId="5" borderId="10" xfId="0" applyNumberFormat="1" applyFont="1" applyFill="1" applyBorder="1" applyAlignment="1">
      <x:alignment horizontal="center" vertical="center"/>
    </x:xf>
    <x:xf numFmtId="200" fontId="4" fillId="5" borderId="11" xfId="0" applyNumberFormat="1" applyFont="1" applyFill="1" applyBorder="1" applyAlignment="1">
      <x:alignment horizontal="center" vertical="center"/>
    </x:xf>
    <x:xf numFmtId="200" fontId="4" fillId="5" borderId="12" xfId="0" applyNumberFormat="1" applyFont="1" applyFill="1" applyBorder="1" applyAlignment="1">
      <x:alignment horizontal="center" vertical="center"/>
    </x:xf>
    <x:xf numFmtId="200" fontId="4" fillId="5" borderId="13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14" xfId="0" applyNumberFormat="1" applyFont="1" applyFill="1" applyBorder="1" applyAlignment="1">
      <x:alignment horizontal="center" vertical="center"/>
    </x:xf>
    <x:xf numFmtId="200" fontId="4" fillId="5" borderId="15" xfId="0" applyNumberFormat="1" applyFont="1" applyFill="1" applyBorder="1" applyAlignment="1">
      <x:alignment horizontal="center" vertical="center"/>
    </x:xf>
    <x:xf numFmtId="200" fontId="4" fillId="5" borderId="16" xfId="0" applyNumberFormat="1" applyFont="1" applyFill="1" applyBorder="1" applyAlignment="1">
      <x:alignment horizontal="center" vertical="center"/>
    </x:xf>
    <x:xf numFmtId="200" fontId="4" fillId="5" borderId="1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0" xfId="0" applyNumberFormat="1" applyFont="1" applyFill="1" applyBorder="1"/>
    <x:xf numFmtId="201" fontId="4" fillId="5" borderId="6" xfId="0" applyNumberFormat="1" applyFont="1" applyFill="1" applyBorder="1"/>
    <x:xf numFmtId="201" fontId="4" fillId="5" borderId="7" xfId="0" applyNumberFormat="1" applyFont="1" applyFill="1" applyBorder="1"/>
    <x:xf numFmtId="201" fontId="4" fillId="5" borderId="8" xfId="0" applyNumberFormat="1" applyFont="1" applyFill="1" applyBorder="1"/>
    <x:xf numFmtId="201" fontId="4" fillId="5" borderId="9" xfId="0" applyNumberFormat="1" applyFont="1" applyFill="1" applyBorder="1"/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7" xfId="0" applyNumberFormat="1" applyFont="1" applyFill="1" applyBorder="1" applyAlignment="1">
      <x:alignment horizontal="center"/>
    </x:xf>
    <x:xf numFmtId="201" fontId="4" fillId="5" borderId="8" xfId="0" applyNumberFormat="1" applyFont="1" applyFill="1" applyBorder="1" applyAlignment="1">
      <x:alignment horizontal="center"/>
    </x:xf>
    <x:xf numFmtId="201" fontId="4" fillId="5" borderId="9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201" fontId="4" fillId="5" borderId="8" xfId="0" applyNumberFormat="1" applyFont="1" applyFill="1" applyBorder="1" applyAlignment="1">
      <x:alignment horizontal="center" vertical="center"/>
    </x:xf>
    <x:xf numFmtId="201" fontId="4" fillId="5" borderId="9" xfId="0" applyNumberFormat="1" applyFont="1" applyFill="1" applyBorder="1" applyAlignment="1">
      <x:alignment horizontal="center" vertical="center"/>
    </x:xf>
    <x:xf numFmtId="201" fontId="4" fillId="5" borderId="10" xfId="0" applyNumberFormat="1" applyFont="1" applyFill="1" applyBorder="1"/>
    <x:xf numFmtId="201" fontId="4" fillId="5" borderId="11" xfId="0" applyNumberFormat="1" applyFont="1" applyFill="1" applyBorder="1"/>
    <x:xf numFmtId="201" fontId="4" fillId="5" borderId="12" xfId="0" applyNumberFormat="1" applyFont="1" applyFill="1" applyBorder="1"/>
    <x:xf numFmtId="201" fontId="4" fillId="5" borderId="13" xfId="0" applyNumberFormat="1" applyFont="1" applyFill="1" applyBorder="1"/>
    <x:xf numFmtId="201" fontId="4" fillId="5" borderId="1" xfId="0" applyNumberFormat="1" applyFont="1" applyFill="1" applyBorder="1"/>
    <x:xf numFmtId="201" fontId="4" fillId="5" borderId="14" xfId="0" applyNumberFormat="1" applyFont="1" applyFill="1" applyBorder="1"/>
    <x:xf numFmtId="201" fontId="4" fillId="5" borderId="15" xfId="0" applyNumberFormat="1" applyFont="1" applyFill="1" applyBorder="1"/>
    <x:xf numFmtId="201" fontId="4" fillId="5" borderId="16" xfId="0" applyNumberFormat="1" applyFont="1" applyFill="1" applyBorder="1"/>
    <x:xf numFmtId="201" fontId="4" fillId="5" borderId="17" xfId="0" applyNumberFormat="1" applyFont="1" applyFill="1" applyBorder="1"/>
    <x:xf numFmtId="201" fontId="4" fillId="5" borderId="10" xfId="0" applyNumberFormat="1" applyFont="1" applyFill="1" applyBorder="1" applyAlignment="1">
      <x:alignment horizontal="center"/>
    </x:xf>
    <x:xf numFmtId="201" fontId="4" fillId="5" borderId="11" xfId="0" applyNumberFormat="1" applyFont="1" applyFill="1" applyBorder="1" applyAlignment="1">
      <x:alignment horizontal="center"/>
    </x:xf>
    <x:xf numFmtId="201" fontId="4" fillId="5" borderId="12" xfId="0" applyNumberFormat="1" applyFont="1" applyFill="1" applyBorder="1" applyAlignment="1">
      <x:alignment horizontal="center"/>
    </x:xf>
    <x:xf numFmtId="201" fontId="4" fillId="5" borderId="13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/>
    </x:xf>
    <x:xf numFmtId="201" fontId="4" fillId="5" borderId="14" xfId="0" applyNumberFormat="1" applyFont="1" applyFill="1" applyBorder="1" applyAlignment="1">
      <x:alignment horizontal="center"/>
    </x:xf>
    <x:xf numFmtId="201" fontId="4" fillId="5" borderId="15" xfId="0" applyNumberFormat="1" applyFont="1" applyFill="1" applyBorder="1" applyAlignment="1">
      <x:alignment horizontal="center"/>
    </x:xf>
    <x:xf numFmtId="201" fontId="4" fillId="5" borderId="16" xfId="0" applyNumberFormat="1" applyFont="1" applyFill="1" applyBorder="1" applyAlignment="1">
      <x:alignment horizontal="center"/>
    </x:xf>
    <x:xf numFmtId="201" fontId="4" fillId="5" borderId="17" xfId="0" applyNumberFormat="1" applyFont="1" applyFill="1" applyBorder="1" applyAlignment="1">
      <x:alignment horizontal="center"/>
    </x:xf>
    <x:xf numFmtId="201" fontId="4" fillId="5" borderId="10" xfId="0" applyNumberFormat="1" applyFont="1" applyFill="1" applyBorder="1" applyAlignment="1">
      <x:alignment horizontal="center" vertical="center"/>
    </x:xf>
    <x:xf numFmtId="201" fontId="4" fillId="5" borderId="11" xfId="0" applyNumberFormat="1" applyFont="1" applyFill="1" applyBorder="1" applyAlignment="1">
      <x:alignment horizontal="center" vertical="center"/>
    </x:xf>
    <x:xf numFmtId="201" fontId="4" fillId="5" borderId="12" xfId="0" applyNumberFormat="1" applyFont="1" applyFill="1" applyBorder="1" applyAlignment="1">
      <x:alignment horizontal="center" vertical="center"/>
    </x:xf>
    <x:xf numFmtId="201" fontId="4" fillId="5" borderId="13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14" xfId="0" applyNumberFormat="1" applyFont="1" applyFill="1" applyBorder="1" applyAlignment="1">
      <x:alignment horizontal="center" vertical="center"/>
    </x:xf>
    <x:xf numFmtId="201" fontId="4" fillId="5" borderId="15" xfId="0" applyNumberFormat="1" applyFont="1" applyFill="1" applyBorder="1" applyAlignment="1">
      <x:alignment horizontal="center" vertical="center"/>
    </x:xf>
    <x:xf numFmtId="201" fontId="4" fillId="5" borderId="16" xfId="0" applyNumberFormat="1" applyFont="1" applyFill="1" applyBorder="1" applyAlignment="1">
      <x:alignment horizontal="center" vertical="center"/>
    </x:xf>
    <x:xf numFmtId="201" fontId="4" fillId="5" borderId="17" xfId="0" applyNumberFormat="1" applyFont="1" applyFill="1" applyBorder="1" applyAlignment="1">
      <x:alignment horizontal="center" vertical="center"/>
    </x:xf>
    <x:xf numFmtId="202" fontId="4" fillId="5" borderId="2" xfId="0" applyNumberFormat="1" applyFont="1" applyFill="1" applyBorder="1"/>
    <x:xf numFmtId="202" fontId="4" fillId="5" borderId="3" xfId="0" applyNumberFormat="1" applyFont="1" applyFill="1" applyBorder="1"/>
    <x:xf numFmtId="202" fontId="4" fillId="5" borderId="4" xfId="0" applyNumberFormat="1" applyFont="1" applyFill="1" applyBorder="1"/>
    <x:xf numFmtId="202" fontId="4" fillId="5" borderId="5" xfId="0" applyNumberFormat="1" applyFont="1" applyFill="1" applyBorder="1"/>
    <x:xf numFmtId="202" fontId="4" fillId="5" borderId="0" xfId="0" applyNumberFormat="1" applyFont="1" applyFill="1" applyBorder="1"/>
    <x:xf numFmtId="202" fontId="4" fillId="5" borderId="6" xfId="0" applyNumberFormat="1" applyFont="1" applyFill="1" applyBorder="1"/>
    <x:xf numFmtId="202" fontId="4" fillId="5" borderId="7" xfId="0" applyNumberFormat="1" applyFont="1" applyFill="1" applyBorder="1"/>
    <x:xf numFmtId="202" fontId="4" fillId="5" borderId="8" xfId="0" applyNumberFormat="1" applyFont="1" applyFill="1" applyBorder="1"/>
    <x:xf numFmtId="202" fontId="4" fillId="5" borderId="9" xfId="0" applyNumberFormat="1" applyFont="1" applyFill="1" applyBorder="1"/>
    <x:xf numFmtId="202" fontId="4" fillId="5" borderId="2" xfId="0" applyNumberFormat="1" applyFont="1" applyFill="1" applyBorder="1" applyAlignment="1">
      <x:alignment horizontal="center"/>
    </x:xf>
    <x:xf numFmtId="202" fontId="4" fillId="5" borderId="3" xfId="0" applyNumberFormat="1" applyFont="1" applyFill="1" applyBorder="1" applyAlignment="1">
      <x:alignment horizontal="center"/>
    </x:xf>
    <x:xf numFmtId="202" fontId="4" fillId="5" borderId="4" xfId="0" applyNumberFormat="1" applyFont="1" applyFill="1" applyBorder="1" applyAlignment="1">
      <x:alignment horizontal="center"/>
    </x:xf>
    <x:xf numFmtId="202" fontId="4" fillId="5" borderId="5" xfId="0" applyNumberFormat="1" applyFont="1" applyFill="1" applyBorder="1" applyAlignment="1">
      <x:alignment horizontal="center"/>
    </x:xf>
    <x:xf numFmtId="202" fontId="4" fillId="5" borderId="0" xfId="0" applyNumberFormat="1" applyFont="1" applyFill="1" applyBorder="1" applyAlignment="1">
      <x:alignment horizontal="center"/>
    </x:xf>
    <x:xf numFmtId="202" fontId="4" fillId="5" borderId="6" xfId="0" applyNumberFormat="1" applyFont="1" applyFill="1" applyBorder="1" applyAlignment="1">
      <x:alignment horizontal="center"/>
    </x:xf>
    <x:xf numFmtId="202" fontId="4" fillId="5" borderId="7" xfId="0" applyNumberFormat="1" applyFont="1" applyFill="1" applyBorder="1" applyAlignment="1">
      <x:alignment horizontal="center"/>
    </x:xf>
    <x:xf numFmtId="202" fontId="4" fillId="5" borderId="8" xfId="0" applyNumberFormat="1" applyFont="1" applyFill="1" applyBorder="1" applyAlignment="1">
      <x:alignment horizontal="center"/>
    </x:xf>
    <x:xf numFmtId="202" fontId="4" fillId="5" borderId="9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2" fontId="4" fillId="5" borderId="5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6" xfId="0" applyNumberFormat="1" applyFont="1" applyFill="1" applyBorder="1" applyAlignment="1">
      <x:alignment horizontal="center" vertical="center"/>
    </x:xf>
    <x:xf numFmtId="202" fontId="4" fillId="5" borderId="7" xfId="0" applyNumberFormat="1" applyFont="1" applyFill="1" applyBorder="1" applyAlignment="1">
      <x:alignment horizontal="center" vertical="center"/>
    </x:xf>
    <x:xf numFmtId="202" fontId="4" fillId="5" borderId="8" xfId="0" applyNumberFormat="1" applyFont="1" applyFill="1" applyBorder="1" applyAlignment="1">
      <x:alignment horizontal="center" vertical="center"/>
    </x:xf>
    <x:xf numFmtId="202" fontId="4" fillId="5" borderId="9" xfId="0" applyNumberFormat="1" applyFont="1" applyFill="1" applyBorder="1" applyAlignment="1">
      <x:alignment horizontal="center" vertical="center"/>
    </x:xf>
    <x:xf numFmtId="202" fontId="4" fillId="5" borderId="10" xfId="0" applyNumberFormat="1" applyFont="1" applyFill="1" applyBorder="1"/>
    <x:xf numFmtId="202" fontId="4" fillId="5" borderId="11" xfId="0" applyNumberFormat="1" applyFont="1" applyFill="1" applyBorder="1"/>
    <x:xf numFmtId="202" fontId="4" fillId="5" borderId="12" xfId="0" applyNumberFormat="1" applyFont="1" applyFill="1" applyBorder="1"/>
    <x:xf numFmtId="202" fontId="4" fillId="5" borderId="13" xfId="0" applyNumberFormat="1" applyFont="1" applyFill="1" applyBorder="1"/>
    <x:xf numFmtId="202" fontId="4" fillId="5" borderId="1" xfId="0" applyNumberFormat="1" applyFont="1" applyFill="1" applyBorder="1"/>
    <x:xf numFmtId="202" fontId="4" fillId="5" borderId="14" xfId="0" applyNumberFormat="1" applyFont="1" applyFill="1" applyBorder="1"/>
    <x:xf numFmtId="202" fontId="4" fillId="5" borderId="15" xfId="0" applyNumberFormat="1" applyFont="1" applyFill="1" applyBorder="1"/>
    <x:xf numFmtId="202" fontId="4" fillId="5" borderId="16" xfId="0" applyNumberFormat="1" applyFont="1" applyFill="1" applyBorder="1"/>
    <x:xf numFmtId="202" fontId="4" fillId="5" borderId="17" xfId="0" applyNumberFormat="1" applyFont="1" applyFill="1" applyBorder="1"/>
    <x:xf numFmtId="202" fontId="4" fillId="5" borderId="10" xfId="0" applyNumberFormat="1" applyFont="1" applyFill="1" applyBorder="1" applyAlignment="1">
      <x:alignment horizontal="center"/>
    </x:xf>
    <x:xf numFmtId="202" fontId="4" fillId="5" borderId="11" xfId="0" applyNumberFormat="1" applyFont="1" applyFill="1" applyBorder="1" applyAlignment="1">
      <x:alignment horizontal="center"/>
    </x:xf>
    <x:xf numFmtId="202" fontId="4" fillId="5" borderId="12" xfId="0" applyNumberFormat="1" applyFont="1" applyFill="1" applyBorder="1" applyAlignment="1">
      <x:alignment horizontal="center"/>
    </x:xf>
    <x:xf numFmtId="202" fontId="4" fillId="5" borderId="13" xfId="0" applyNumberFormat="1" applyFont="1" applyFill="1" applyBorder="1" applyAlignment="1">
      <x:alignment horizontal="center"/>
    </x:xf>
    <x:xf numFmtId="202" fontId="4" fillId="5" borderId="1" xfId="0" applyNumberFormat="1" applyFont="1" applyFill="1" applyBorder="1" applyAlignment="1">
      <x:alignment horizontal="center"/>
    </x:xf>
    <x:xf numFmtId="202" fontId="4" fillId="5" borderId="14" xfId="0" applyNumberFormat="1" applyFont="1" applyFill="1" applyBorder="1" applyAlignment="1">
      <x:alignment horizontal="center"/>
    </x:xf>
    <x:xf numFmtId="202" fontId="4" fillId="5" borderId="15" xfId="0" applyNumberFormat="1" applyFont="1" applyFill="1" applyBorder="1" applyAlignment="1">
      <x:alignment horizontal="center"/>
    </x:xf>
    <x:xf numFmtId="202" fontId="4" fillId="5" borderId="16" xfId="0" applyNumberFormat="1" applyFont="1" applyFill="1" applyBorder="1" applyAlignment="1">
      <x:alignment horizontal="center"/>
    </x:xf>
    <x:xf numFmtId="202" fontId="4" fillId="5" borderId="17" xfId="0" applyNumberFormat="1" applyFont="1" applyFill="1" applyBorder="1" applyAlignment="1">
      <x:alignment horizontal="center"/>
    </x:xf>
    <x:xf numFmtId="202" fontId="4" fillId="5" borderId="10" xfId="0" applyNumberFormat="1" applyFont="1" applyFill="1" applyBorder="1" applyAlignment="1">
      <x:alignment horizontal="center" vertical="center"/>
    </x:xf>
    <x:xf numFmtId="202" fontId="4" fillId="5" borderId="11" xfId="0" applyNumberFormat="1" applyFont="1" applyFill="1" applyBorder="1" applyAlignment="1">
      <x:alignment horizontal="center" vertical="center"/>
    </x:xf>
    <x:xf numFmtId="202" fontId="4" fillId="5" borderId="12" xfId="0" applyNumberFormat="1" applyFont="1" applyFill="1" applyBorder="1" applyAlignment="1">
      <x:alignment horizontal="center" vertical="center"/>
    </x:xf>
    <x:xf numFmtId="202" fontId="4" fillId="5" borderId="13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202" fontId="4" fillId="5" borderId="14" xfId="0" applyNumberFormat="1" applyFont="1" applyFill="1" applyBorder="1" applyAlignment="1">
      <x:alignment horizontal="center" vertical="center"/>
    </x:xf>
    <x:xf numFmtId="202" fontId="4" fillId="5" borderId="15" xfId="0" applyNumberFormat="1" applyFont="1" applyFill="1" applyBorder="1" applyAlignment="1">
      <x:alignment horizontal="center" vertical="center"/>
    </x:xf>
    <x:xf numFmtId="202" fontId="4" fillId="5" borderId="16" xfId="0" applyNumberFormat="1" applyFont="1" applyFill="1" applyBorder="1" applyAlignment="1">
      <x:alignment horizontal="center" vertical="center"/>
    </x:xf>
    <x:xf numFmtId="202" fontId="4" fillId="5" borderId="17" xfId="0" applyNumberFormat="1" applyFont="1" applyFill="1" applyBorder="1" applyAlignment="1">
      <x:alignment horizontal="center" vertical="center"/>
    </x:xf>
    <x:xf numFmtId="203" fontId="4" fillId="5" borderId="2" xfId="0" applyNumberFormat="1" applyFont="1" applyFill="1" applyBorder="1"/>
    <x:xf numFmtId="203" fontId="4" fillId="5" borderId="3" xfId="0" applyNumberFormat="1" applyFont="1" applyFill="1" applyBorder="1"/>
    <x:xf numFmtId="203" fontId="4" fillId="5" borderId="4" xfId="0" applyNumberFormat="1" applyFont="1" applyFill="1" applyBorder="1"/>
    <x:xf numFmtId="203" fontId="4" fillId="5" borderId="5" xfId="0" applyNumberFormat="1" applyFont="1" applyFill="1" applyBorder="1"/>
    <x:xf numFmtId="203" fontId="4" fillId="5" borderId="0" xfId="0" applyNumberFormat="1" applyFont="1" applyFill="1" applyBorder="1"/>
    <x:xf numFmtId="203" fontId="4" fillId="5" borderId="6" xfId="0" applyNumberFormat="1" applyFont="1" applyFill="1" applyBorder="1"/>
    <x:xf numFmtId="203" fontId="4" fillId="5" borderId="7" xfId="0" applyNumberFormat="1" applyFont="1" applyFill="1" applyBorder="1"/>
    <x:xf numFmtId="203" fontId="4" fillId="5" borderId="8" xfId="0" applyNumberFormat="1" applyFont="1" applyFill="1" applyBorder="1"/>
    <x:xf numFmtId="203" fontId="4" fillId="5" borderId="9" xfId="0" applyNumberFormat="1" applyFont="1" applyFill="1" applyBorder="1"/>
    <x:xf numFmtId="203" fontId="4" fillId="5" borderId="2" xfId="0" applyNumberFormat="1" applyFont="1" applyFill="1" applyBorder="1" applyAlignment="1">
      <x:alignment horizontal="center"/>
    </x:xf>
    <x:xf numFmtId="203" fontId="4" fillId="5" borderId="3" xfId="0" applyNumberFormat="1" applyFont="1" applyFill="1" applyBorder="1" applyAlignment="1">
      <x:alignment horizontal="center"/>
    </x:xf>
    <x:xf numFmtId="203" fontId="4" fillId="5" borderId="4" xfId="0" applyNumberFormat="1" applyFont="1" applyFill="1" applyBorder="1" applyAlignment="1">
      <x:alignment horizontal="center"/>
    </x:xf>
    <x:xf numFmtId="203" fontId="4" fillId="5" borderId="5" xfId="0" applyNumberFormat="1" applyFont="1" applyFill="1" applyBorder="1" applyAlignment="1">
      <x:alignment horizontal="center"/>
    </x:xf>
    <x:xf numFmtId="203" fontId="4" fillId="5" borderId="0" xfId="0" applyNumberFormat="1" applyFont="1" applyFill="1" applyBorder="1" applyAlignment="1">
      <x:alignment horizontal="center"/>
    </x:xf>
    <x:xf numFmtId="203" fontId="4" fillId="5" borderId="6" xfId="0" applyNumberFormat="1" applyFont="1" applyFill="1" applyBorder="1" applyAlignment="1">
      <x:alignment horizontal="center"/>
    </x:xf>
    <x:xf numFmtId="203" fontId="4" fillId="5" borderId="7" xfId="0" applyNumberFormat="1" applyFont="1" applyFill="1" applyBorder="1" applyAlignment="1">
      <x:alignment horizontal="center"/>
    </x:xf>
    <x:xf numFmtId="203" fontId="4" fillId="5" borderId="8" xfId="0" applyNumberFormat="1" applyFont="1" applyFill="1" applyBorder="1" applyAlignment="1">
      <x:alignment horizontal="center"/>
    </x:xf>
    <x:xf numFmtId="203" fontId="4" fillId="5" borderId="9" xfId="0" applyNumberFormat="1" applyFont="1" applyFill="1" applyBorder="1" applyAlignment="1">
      <x:alignment horizontal="center"/>
    </x:xf>
    <x:xf numFmtId="203" fontId="4" fillId="5" borderId="2" xfId="0" applyNumberFormat="1" applyFont="1" applyFill="1" applyBorder="1" applyAlignment="1">
      <x:alignment horizontal="center" vertical="center"/>
    </x:xf>
    <x:xf numFmtId="203" fontId="4" fillId="5" borderId="3" xfId="0" applyNumberFormat="1" applyFont="1" applyFill="1" applyBorder="1" applyAlignment="1">
      <x:alignment horizontal="center" vertical="center"/>
    </x:xf>
    <x:xf numFmtId="203" fontId="4" fillId="5" borderId="4" xfId="0" applyNumberFormat="1" applyFont="1" applyFill="1" applyBorder="1" applyAlignment="1">
      <x:alignment horizontal="center" vertical="center"/>
    </x:xf>
    <x:xf numFmtId="203" fontId="4" fillId="5" borderId="5" xfId="0" applyNumberFormat="1" applyFont="1" applyFill="1" applyBorder="1" applyAlignment="1">
      <x:alignment horizontal="center" vertical="center"/>
    </x:xf>
    <x:xf numFmtId="203" fontId="4" fillId="5" borderId="0" xfId="0" applyNumberFormat="1" applyFont="1" applyFill="1" applyBorder="1" applyAlignment="1">
      <x:alignment horizontal="center" vertical="center"/>
    </x:xf>
    <x:xf numFmtId="203" fontId="4" fillId="5" borderId="6" xfId="0" applyNumberFormat="1" applyFont="1" applyFill="1" applyBorder="1" applyAlignment="1">
      <x:alignment horizontal="center" vertical="center"/>
    </x:xf>
    <x:xf numFmtId="203" fontId="4" fillId="5" borderId="7" xfId="0" applyNumberFormat="1" applyFont="1" applyFill="1" applyBorder="1" applyAlignment="1">
      <x:alignment horizontal="center" vertical="center"/>
    </x:xf>
    <x:xf numFmtId="203" fontId="4" fillId="5" borderId="8" xfId="0" applyNumberFormat="1" applyFont="1" applyFill="1" applyBorder="1" applyAlignment="1">
      <x:alignment horizontal="center" vertical="center"/>
    </x:xf>
    <x:xf numFmtId="203" fontId="4" fillId="5" borderId="9" xfId="0" applyNumberFormat="1" applyFont="1" applyFill="1" applyBorder="1" applyAlignment="1">
      <x:alignment horizontal="center" vertical="center"/>
    </x:xf>
    <x:xf numFmtId="203" fontId="4" fillId="5" borderId="10" xfId="0" applyNumberFormat="1" applyFont="1" applyFill="1" applyBorder="1"/>
    <x:xf numFmtId="203" fontId="4" fillId="5" borderId="11" xfId="0" applyNumberFormat="1" applyFont="1" applyFill="1" applyBorder="1"/>
    <x:xf numFmtId="203" fontId="4" fillId="5" borderId="12" xfId="0" applyNumberFormat="1" applyFont="1" applyFill="1" applyBorder="1"/>
    <x:xf numFmtId="203" fontId="4" fillId="5" borderId="13" xfId="0" applyNumberFormat="1" applyFont="1" applyFill="1" applyBorder="1"/>
    <x:xf numFmtId="203" fontId="4" fillId="5" borderId="1" xfId="0" applyNumberFormat="1" applyFont="1" applyFill="1" applyBorder="1"/>
    <x:xf numFmtId="203" fontId="4" fillId="5" borderId="14" xfId="0" applyNumberFormat="1" applyFont="1" applyFill="1" applyBorder="1"/>
    <x:xf numFmtId="203" fontId="4" fillId="5" borderId="15" xfId="0" applyNumberFormat="1" applyFont="1" applyFill="1" applyBorder="1"/>
    <x:xf numFmtId="203" fontId="4" fillId="5" borderId="16" xfId="0" applyNumberFormat="1" applyFont="1" applyFill="1" applyBorder="1"/>
    <x:xf numFmtId="203" fontId="4" fillId="5" borderId="17" xfId="0" applyNumberFormat="1" applyFont="1" applyFill="1" applyBorder="1"/>
    <x:xf numFmtId="203" fontId="4" fillId="5" borderId="10" xfId="0" applyNumberFormat="1" applyFont="1" applyFill="1" applyBorder="1" applyAlignment="1">
      <x:alignment horizontal="center"/>
    </x:xf>
    <x:xf numFmtId="203" fontId="4" fillId="5" borderId="11" xfId="0" applyNumberFormat="1" applyFont="1" applyFill="1" applyBorder="1" applyAlignment="1">
      <x:alignment horizontal="center"/>
    </x:xf>
    <x:xf numFmtId="203" fontId="4" fillId="5" borderId="12" xfId="0" applyNumberFormat="1" applyFont="1" applyFill="1" applyBorder="1" applyAlignment="1">
      <x:alignment horizontal="center"/>
    </x:xf>
    <x:xf numFmtId="203" fontId="4" fillId="5" borderId="13" xfId="0" applyNumberFormat="1" applyFont="1" applyFill="1" applyBorder="1" applyAlignment="1">
      <x:alignment horizontal="center"/>
    </x:xf>
    <x:xf numFmtId="203" fontId="4" fillId="5" borderId="1" xfId="0" applyNumberFormat="1" applyFont="1" applyFill="1" applyBorder="1" applyAlignment="1">
      <x:alignment horizontal="center"/>
    </x:xf>
    <x:xf numFmtId="203" fontId="4" fillId="5" borderId="14" xfId="0" applyNumberFormat="1" applyFont="1" applyFill="1" applyBorder="1" applyAlignment="1">
      <x:alignment horizontal="center"/>
    </x:xf>
    <x:xf numFmtId="203" fontId="4" fillId="5" borderId="15" xfId="0" applyNumberFormat="1" applyFont="1" applyFill="1" applyBorder="1" applyAlignment="1">
      <x:alignment horizontal="center"/>
    </x:xf>
    <x:xf numFmtId="203" fontId="4" fillId="5" borderId="16" xfId="0" applyNumberFormat="1" applyFont="1" applyFill="1" applyBorder="1" applyAlignment="1">
      <x:alignment horizontal="center"/>
    </x:xf>
    <x:xf numFmtId="203" fontId="4" fillId="5" borderId="17" xfId="0" applyNumberFormat="1" applyFont="1" applyFill="1" applyBorder="1" applyAlignment="1">
      <x:alignment horizontal="center"/>
    </x:xf>
    <x:xf numFmtId="203" fontId="4" fillId="5" borderId="10" xfId="0" applyNumberFormat="1" applyFont="1" applyFill="1" applyBorder="1" applyAlignment="1">
      <x:alignment horizontal="center" vertical="center"/>
    </x:xf>
    <x:xf numFmtId="203" fontId="4" fillId="5" borderId="11" xfId="0" applyNumberFormat="1" applyFont="1" applyFill="1" applyBorder="1" applyAlignment="1">
      <x:alignment horizontal="center" vertical="center"/>
    </x:xf>
    <x:xf numFmtId="203" fontId="4" fillId="5" borderId="12" xfId="0" applyNumberFormat="1" applyFont="1" applyFill="1" applyBorder="1" applyAlignment="1">
      <x:alignment horizontal="center" vertical="center"/>
    </x:xf>
    <x:xf numFmtId="203" fontId="4" fillId="5" borderId="13" xfId="0" applyNumberFormat="1" applyFont="1" applyFill="1" applyBorder="1" applyAlignment="1">
      <x:alignment horizontal="center" vertical="center"/>
    </x:xf>
    <x:xf numFmtId="203" fontId="4" fillId="5" borderId="1" xfId="0" applyNumberFormat="1" applyFont="1" applyFill="1" applyBorder="1" applyAlignment="1">
      <x:alignment horizontal="center" vertical="center"/>
    </x:xf>
    <x:xf numFmtId="203" fontId="4" fillId="5" borderId="14" xfId="0" applyNumberFormat="1" applyFont="1" applyFill="1" applyBorder="1" applyAlignment="1">
      <x:alignment horizontal="center" vertical="center"/>
    </x:xf>
    <x:xf numFmtId="203" fontId="4" fillId="5" borderId="15" xfId="0" applyNumberFormat="1" applyFont="1" applyFill="1" applyBorder="1" applyAlignment="1">
      <x:alignment horizontal="center" vertical="center"/>
    </x:xf>
    <x:xf numFmtId="203" fontId="4" fillId="5" borderId="16" xfId="0" applyNumberFormat="1" applyFont="1" applyFill="1" applyBorder="1" applyAlignment="1">
      <x:alignment horizontal="center" vertical="center"/>
    </x:xf>
    <x:xf numFmtId="203" fontId="4" fillId="5" borderId="17" xfId="0" applyNumberFormat="1" applyFont="1" applyFill="1" applyBorder="1" applyAlignment="1">
      <x:alignment horizontal="center" vertical="center"/>
    </x:xf>
    <x:xf numFmtId="204" fontId="4" fillId="5" borderId="2" xfId="0" applyNumberFormat="1" applyFont="1" applyFill="1" applyBorder="1"/>
    <x:xf numFmtId="204" fontId="4" fillId="5" borderId="3" xfId="0" applyNumberFormat="1" applyFont="1" applyFill="1" applyBorder="1"/>
    <x:xf numFmtId="204" fontId="4" fillId="5" borderId="4" xfId="0" applyNumberFormat="1" applyFont="1" applyFill="1" applyBorder="1"/>
    <x:xf numFmtId="204" fontId="4" fillId="5" borderId="5" xfId="0" applyNumberFormat="1" applyFont="1" applyFill="1" applyBorder="1"/>
    <x:xf numFmtId="204" fontId="4" fillId="5" borderId="0" xfId="0" applyNumberFormat="1" applyFont="1" applyFill="1" applyBorder="1"/>
    <x:xf numFmtId="204" fontId="4" fillId="5" borderId="6" xfId="0" applyNumberFormat="1" applyFont="1" applyFill="1" applyBorder="1"/>
    <x:xf numFmtId="204" fontId="4" fillId="5" borderId="7" xfId="0" applyNumberFormat="1" applyFont="1" applyFill="1" applyBorder="1"/>
    <x:xf numFmtId="204" fontId="4" fillId="5" borderId="8" xfId="0" applyNumberFormat="1" applyFont="1" applyFill="1" applyBorder="1"/>
    <x:xf numFmtId="204" fontId="4" fillId="5" borderId="9" xfId="0" applyNumberFormat="1" applyFont="1" applyFill="1" applyBorder="1"/>
    <x:xf numFmtId="204" fontId="4" fillId="5" borderId="2" xfId="0" applyNumberFormat="1" applyFont="1" applyFill="1" applyBorder="1" applyAlignment="1">
      <x:alignment horizontal="center"/>
    </x:xf>
    <x:xf numFmtId="204" fontId="4" fillId="5" borderId="3" xfId="0" applyNumberFormat="1" applyFont="1" applyFill="1" applyBorder="1" applyAlignment="1">
      <x:alignment horizontal="center"/>
    </x:xf>
    <x:xf numFmtId="204" fontId="4" fillId="5" borderId="4" xfId="0" applyNumberFormat="1" applyFont="1" applyFill="1" applyBorder="1" applyAlignment="1">
      <x:alignment horizontal="center"/>
    </x:xf>
    <x:xf numFmtId="204" fontId="4" fillId="5" borderId="5" xfId="0" applyNumberFormat="1" applyFont="1" applyFill="1" applyBorder="1" applyAlignment="1">
      <x:alignment horizontal="center"/>
    </x:xf>
    <x:xf numFmtId="204" fontId="4" fillId="5" borderId="0" xfId="0" applyNumberFormat="1" applyFont="1" applyFill="1" applyBorder="1" applyAlignment="1">
      <x:alignment horizontal="center"/>
    </x:xf>
    <x:xf numFmtId="204" fontId="4" fillId="5" borderId="6" xfId="0" applyNumberFormat="1" applyFont="1" applyFill="1" applyBorder="1" applyAlignment="1">
      <x:alignment horizontal="center"/>
    </x:xf>
    <x:xf numFmtId="204" fontId="4" fillId="5" borderId="7" xfId="0" applyNumberFormat="1" applyFont="1" applyFill="1" applyBorder="1" applyAlignment="1">
      <x:alignment horizontal="center"/>
    </x:xf>
    <x:xf numFmtId="204" fontId="4" fillId="5" borderId="8" xfId="0" applyNumberFormat="1" applyFont="1" applyFill="1" applyBorder="1" applyAlignment="1">
      <x:alignment horizontal="center"/>
    </x:xf>
    <x:xf numFmtId="204" fontId="4" fillId="5" borderId="9" xfId="0" applyNumberFormat="1" applyFont="1" applyFill="1" applyBorder="1" applyAlignment="1">
      <x:alignment horizontal="center"/>
    </x:xf>
    <x:xf numFmtId="204" fontId="4" fillId="5" borderId="2" xfId="0" applyNumberFormat="1" applyFont="1" applyFill="1" applyBorder="1" applyAlignment="1">
      <x:alignment horizontal="center" vertical="center"/>
    </x:xf>
    <x:xf numFmtId="204" fontId="4" fillId="5" borderId="3" xfId="0" applyNumberFormat="1" applyFont="1" applyFill="1" applyBorder="1" applyAlignment="1">
      <x:alignment horizontal="center" vertical="center"/>
    </x:xf>
    <x:xf numFmtId="204" fontId="4" fillId="5" borderId="4" xfId="0" applyNumberFormat="1" applyFont="1" applyFill="1" applyBorder="1" applyAlignment="1">
      <x:alignment horizontal="center" vertical="center"/>
    </x:xf>
    <x:xf numFmtId="204" fontId="4" fillId="5" borderId="5" xfId="0" applyNumberFormat="1" applyFont="1" applyFill="1" applyBorder="1" applyAlignment="1">
      <x:alignment horizontal="center" vertical="center"/>
    </x:xf>
    <x:xf numFmtId="204" fontId="4" fillId="5" borderId="0" xfId="0" applyNumberFormat="1" applyFont="1" applyFill="1" applyBorder="1" applyAlignment="1">
      <x:alignment horizontal="center" vertical="center"/>
    </x:xf>
    <x:xf numFmtId="204" fontId="4" fillId="5" borderId="6" xfId="0" applyNumberFormat="1" applyFont="1" applyFill="1" applyBorder="1" applyAlignment="1">
      <x:alignment horizontal="center" vertical="center"/>
    </x:xf>
    <x:xf numFmtId="204" fontId="4" fillId="5" borderId="7" xfId="0" applyNumberFormat="1" applyFont="1" applyFill="1" applyBorder="1" applyAlignment="1">
      <x:alignment horizontal="center" vertical="center"/>
    </x:xf>
    <x:xf numFmtId="204" fontId="4" fillId="5" borderId="8" xfId="0" applyNumberFormat="1" applyFont="1" applyFill="1" applyBorder="1" applyAlignment="1">
      <x:alignment horizontal="center" vertical="center"/>
    </x:xf>
    <x:xf numFmtId="204" fontId="4" fillId="5" borderId="9" xfId="0" applyNumberFormat="1" applyFont="1" applyFill="1" applyBorder="1" applyAlignment="1">
      <x:alignment horizontal="center" vertical="center"/>
    </x:xf>
    <x:xf numFmtId="204" fontId="4" fillId="5" borderId="10" xfId="0" applyNumberFormat="1" applyFont="1" applyFill="1" applyBorder="1"/>
    <x:xf numFmtId="204" fontId="4" fillId="5" borderId="11" xfId="0" applyNumberFormat="1" applyFont="1" applyFill="1" applyBorder="1"/>
    <x:xf numFmtId="204" fontId="4" fillId="5" borderId="12" xfId="0" applyNumberFormat="1" applyFont="1" applyFill="1" applyBorder="1"/>
    <x:xf numFmtId="204" fontId="4" fillId="5" borderId="13" xfId="0" applyNumberFormat="1" applyFont="1" applyFill="1" applyBorder="1"/>
    <x:xf numFmtId="204" fontId="4" fillId="5" borderId="1" xfId="0" applyNumberFormat="1" applyFont="1" applyFill="1" applyBorder="1"/>
    <x:xf numFmtId="204" fontId="4" fillId="5" borderId="14" xfId="0" applyNumberFormat="1" applyFont="1" applyFill="1" applyBorder="1"/>
    <x:xf numFmtId="204" fontId="4" fillId="5" borderId="15" xfId="0" applyNumberFormat="1" applyFont="1" applyFill="1" applyBorder="1"/>
    <x:xf numFmtId="204" fontId="4" fillId="5" borderId="16" xfId="0" applyNumberFormat="1" applyFont="1" applyFill="1" applyBorder="1"/>
    <x:xf numFmtId="204" fontId="4" fillId="5" borderId="17" xfId="0" applyNumberFormat="1" applyFont="1" applyFill="1" applyBorder="1"/>
    <x:xf numFmtId="204" fontId="4" fillId="5" borderId="10" xfId="0" applyNumberFormat="1" applyFont="1" applyFill="1" applyBorder="1" applyAlignment="1">
      <x:alignment horizontal="center"/>
    </x:xf>
    <x:xf numFmtId="204" fontId="4" fillId="5" borderId="11" xfId="0" applyNumberFormat="1" applyFont="1" applyFill="1" applyBorder="1" applyAlignment="1">
      <x:alignment horizontal="center"/>
    </x:xf>
    <x:xf numFmtId="204" fontId="4" fillId="5" borderId="12" xfId="0" applyNumberFormat="1" applyFont="1" applyFill="1" applyBorder="1" applyAlignment="1">
      <x:alignment horizontal="center"/>
    </x:xf>
    <x:xf numFmtId="204" fontId="4" fillId="5" borderId="13" xfId="0" applyNumberFormat="1" applyFont="1" applyFill="1" applyBorder="1" applyAlignment="1">
      <x:alignment horizontal="center"/>
    </x:xf>
    <x:xf numFmtId="204" fontId="4" fillId="5" borderId="1" xfId="0" applyNumberFormat="1" applyFont="1" applyFill="1" applyBorder="1" applyAlignment="1">
      <x:alignment horizontal="center"/>
    </x:xf>
    <x:xf numFmtId="204" fontId="4" fillId="5" borderId="14" xfId="0" applyNumberFormat="1" applyFont="1" applyFill="1" applyBorder="1" applyAlignment="1">
      <x:alignment horizontal="center"/>
    </x:xf>
    <x:xf numFmtId="204" fontId="4" fillId="5" borderId="15" xfId="0" applyNumberFormat="1" applyFont="1" applyFill="1" applyBorder="1" applyAlignment="1">
      <x:alignment horizontal="center"/>
    </x:xf>
    <x:xf numFmtId="204" fontId="4" fillId="5" borderId="16" xfId="0" applyNumberFormat="1" applyFont="1" applyFill="1" applyBorder="1" applyAlignment="1">
      <x:alignment horizontal="center"/>
    </x:xf>
    <x:xf numFmtId="204" fontId="4" fillId="5" borderId="17" xfId="0" applyNumberFormat="1" applyFont="1" applyFill="1" applyBorder="1" applyAlignment="1">
      <x:alignment horizontal="center"/>
    </x:xf>
    <x:xf numFmtId="204" fontId="4" fillId="5" borderId="10" xfId="0" applyNumberFormat="1" applyFont="1" applyFill="1" applyBorder="1" applyAlignment="1">
      <x:alignment horizontal="center" vertical="center"/>
    </x:xf>
    <x:xf numFmtId="204" fontId="4" fillId="5" borderId="11" xfId="0" applyNumberFormat="1" applyFont="1" applyFill="1" applyBorder="1" applyAlignment="1">
      <x:alignment horizontal="center" vertical="center"/>
    </x:xf>
    <x:xf numFmtId="204" fontId="4" fillId="5" borderId="12" xfId="0" applyNumberFormat="1" applyFont="1" applyFill="1" applyBorder="1" applyAlignment="1">
      <x:alignment horizontal="center" vertical="center"/>
    </x:xf>
    <x:xf numFmtId="204" fontId="4" fillId="5" borderId="13" xfId="0" applyNumberFormat="1" applyFont="1" applyFill="1" applyBorder="1" applyAlignment="1">
      <x:alignment horizontal="center" vertical="center"/>
    </x:xf>
    <x:xf numFmtId="204" fontId="4" fillId="5" borderId="1" xfId="0" applyNumberFormat="1" applyFont="1" applyFill="1" applyBorder="1" applyAlignment="1">
      <x:alignment horizontal="center" vertical="center"/>
    </x:xf>
    <x:xf numFmtId="204" fontId="4" fillId="5" borderId="14" xfId="0" applyNumberFormat="1" applyFont="1" applyFill="1" applyBorder="1" applyAlignment="1">
      <x:alignment horizontal="center" vertical="center"/>
    </x:xf>
    <x:xf numFmtId="204" fontId="4" fillId="5" borderId="15" xfId="0" applyNumberFormat="1" applyFont="1" applyFill="1" applyBorder="1" applyAlignment="1">
      <x:alignment horizontal="center" vertical="center"/>
    </x:xf>
    <x:xf numFmtId="204" fontId="4" fillId="5" borderId="16" xfId="0" applyNumberFormat="1" applyFont="1" applyFill="1" applyBorder="1" applyAlignment="1">
      <x:alignment horizontal="center" vertical="center"/>
    </x:xf>
    <x:xf numFmtId="204" fontId="4" fillId="5" borderId="1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10" fillId="6" borderId="0" xfId="0" applyNumberFormat="1" applyFont="1" applyFill="1" applyBorder="1"/>
    <x:xf numFmtId="0" fontId="10" fillId="6" borderId="8" xfId="0" applyNumberFormat="1" applyFont="1" applyFill="1" applyBorder="1"/>
    <x:xf numFmtId="0" fontId="10" fillId="6" borderId="8" xfId="0" applyNumberFormat="1" applyFont="1" applyFill="1" applyBorder="1" applyAlignment="1">
      <x:alignment wrapText="1"/>
    </x:xf>
    <x:xf numFmtId="0" fontId="10" fillId="6" borderId="8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/>
    <x:xf numFmtId="0" fontId="10" fillId="6" borderId="16" xfId="0" applyNumberFormat="1" applyFont="1" applyFill="1" applyBorder="1"/>
    <x:xf numFmtId="0" fontId="10" fillId="6" borderId="16" xfId="0" applyNumberFormat="1" applyFont="1" applyFill="1" applyBorder="1" applyAlignment="1">
      <x:alignment wrapText="1"/>
    </x:xf>
    <x:xf numFmtId="0" fontId="10" fillId="6" borderId="16" xfId="0" applyNumberFormat="1" applyFont="1" applyFill="1" applyBorder="1" applyAlignment="1">
      <x:alignment vertical="center" wrapText="1"/>
    </x:xf>
    <x:xf numFmtId="0" fontId="3" fillId="6" borderId="8" xfId="0" applyNumberFormat="1" applyFont="1" applyFill="1" applyBorder="1" applyAlignment="1">
      <x:alignment vertical="center" wrapText="1"/>
    </x:xf>
    <x:xf numFmtId="0" fontId="3" fillId="6" borderId="16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8" xfId="0" applyNumberFormat="1" applyFont="1" applyFill="1" applyBorder="1"/>
    <x:xf numFmtId="0" fontId="10" fillId="5" borderId="8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/>
    <x:xf numFmtId="0" fontId="10" fillId="5" borderId="16" xfId="0" applyNumberFormat="1" applyFont="1" applyFill="1" applyBorder="1"/>
    <x:xf numFmtId="0" fontId="10" fillId="5" borderId="16" xfId="0" applyNumberFormat="1" applyFont="1" applyFill="1" applyBorder="1" applyAlignment="1">
      <x:alignment wrapText="1"/>
    </x:xf>
    <x:xf numFmtId="0" fontId="10" fillId="5" borderId="16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16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vertical="center"/>
    </x:xf>
    <x:xf numFmtId="0" fontId="2" fillId="13" borderId="0" xfId="0" applyNumberFormat="1" applyFont="1" applyFill="1" applyBorder="1" applyAlignment="1">
      <x:alignment horizontal="left" vertical="center"/>
    </x:xf>
    <x:xf numFmtId="0" fontId="3" fillId="14" borderId="0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2E2E"/>
      </x:font>
      <x:fill>
        <x:patternFill>
          <x:bgColor rgb="FFFCE2E0"/>
        </x:patternFill>
      </x:fill>
    </x:dxf>
    <x:dxf>
      <x:font>
        <x:b/>
        <x:color rgb="FF9C2E2E"/>
      </x:font>
      <x:fill>
        <x:patternFill>
          <x:bgColor rgb="FFFCE2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8e4ef39354e49" /><Relationship Type="http://schemas.openxmlformats.org/officeDocument/2006/relationships/theme" Target="/xl/theme/theme1.xml" Id="Rdcdbb78e627944b9" /><Relationship Type="http://schemas.openxmlformats.org/officeDocument/2006/relationships/sharedStrings" Target="/xl/sharedStrings.xml" Id="R09a58cf3549d4be3" /><Relationship Type="http://schemas.openxmlformats.org/officeDocument/2006/relationships/worksheet" Target="/xl/worksheets/sheet1.xml" Id="R5d3f5131e7224b85" /><Relationship Type="http://schemas.openxmlformats.org/officeDocument/2006/relationships/worksheet" Target="/xl/worksheets/sheet2.xml" Id="R4031af8b176b40fd" /><Relationship Type="http://schemas.openxmlformats.org/officeDocument/2006/relationships/worksheet" Target="/xl/worksheets/sheet3.xml" Id="R96b060af6bf04168" /><Relationship Type="http://schemas.openxmlformats.org/officeDocument/2006/relationships/worksheet" Target="/xl/worksheets/sheet4.xml" Id="R1cbb48ba03554785" /><Relationship Type="http://schemas.openxmlformats.org/officeDocument/2006/relationships/worksheet" Target="/xl/worksheets/sheet5.xml" Id="R3d9a4d756c254ad2" /><Relationship Type="http://schemas.openxmlformats.org/officeDocument/2006/relationships/worksheet" Target="/xl/worksheets/sheet6.xml" Id="Re2143df859634147" /><Relationship Type="http://schemas.openxmlformats.org/officeDocument/2006/relationships/worksheet" Target="/xl/worksheets/sheet7.xml" Id="Rcb90a6cecca64582" /><Relationship Type="http://schemas.openxmlformats.org/officeDocument/2006/relationships/worksheet" Target="/xl/worksheets/sheet8.xml" Id="R13c6602b973c4435" /><Relationship Type="http://schemas.openxmlformats.org/officeDocument/2006/relationships/worksheet" Target="/xl/worksheets/sheet9.xml" Id="Rcd5d806b3e7649fe" /><Relationship Type="http://schemas.openxmlformats.org/officeDocument/2006/relationships/worksheet" Target="/xl/worksheets/sheet10.xml" Id="R0e025b171ab74328" /><Relationship Type="http://schemas.openxmlformats.org/officeDocument/2006/relationships/worksheet" Target="/xl/worksheets/sheet11.xml" Id="R1e4ef9dd7dae49ae" /><Relationship Type="http://schemas.openxmlformats.org/officeDocument/2006/relationships/worksheet" Target="/xl/worksheets/sheet12.xml" Id="R168e3963700f49b7" /><Relationship Type="http://schemas.openxmlformats.org/officeDocument/2006/relationships/worksheet" Target="/xl/worksheets/sheet13.xml" Id="R9904457cc82643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8c2bf0455c4db2" /><Relationship Type="http://schemas.openxmlformats.org/officeDocument/2006/relationships/chart" Target="/xl/drawings/charts/chart2.xml" Id="Rb7e70076f418405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11521a50e034a81" /><Relationship Type="http://schemas.openxmlformats.org/officeDocument/2006/relationships/chart" Target="/xl/drawings/charts/chart4.xml" Id="Rd8bb06e7bae849fd" /><Relationship Type="http://schemas.openxmlformats.org/officeDocument/2006/relationships/chart" Target="/xl/drawings/charts/chart5.xml" Id="R124a56726c5a4e9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e8f3d6d004fe4132" /><Relationship Type="http://schemas.openxmlformats.org/officeDocument/2006/relationships/chart" Target="/xl/drawings/charts/chart7.xml" Id="Re05d6e03c52542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 Workflow Health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Projects</c:v>
          </c:tx>
          <c:cat>
            <c:strRef>
              <c:f>'Executive_Dashboard'!$A$19:$A$21</c:f>
              <c:strCache>
                <c:ptCount val="0"/>
              </c:strCache>
            </c:strRef>
          </c:cat>
          <c:val>
            <c:numRef>
              <c:f>'Executive_Dashboard'!$B$19:$B$21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Largest Change Categories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Approved Value</c:v>
          </c:tx>
          <c:cat>
            <c:strRef>
              <c:f>'Executive_Dashboard'!$J$19:$J$23</c:f>
              <c:strCache>
                <c:ptCount val="0"/>
              </c:strCache>
            </c:strRef>
          </c:cat>
          <c:val>
            <c:numRef>
              <c:f>'Executive_Dashboard'!$K$19:$K$23</c:f>
              <c:numCache>
                <c:formatCode>$#,##0.0,,"M"</c:formatCode>
                <c:ptCount val="0"/>
              </c:numCache>
            </c:numRef>
          </c:val>
        </c:ser>
        <c:ser>
          <c:idx val="1"/>
          <c:order val="1"/>
          <c:tx>
            <c:v>Pending Exposure</c:v>
          </c:tx>
          <c:cat>
            <c:strRef>
              <c:f>'Executive_Dashboard'!$J$19:$J$23</c:f>
              <c:strCache>
                <c:ptCount val="0"/>
              </c:strCache>
            </c:strRef>
          </c:cat>
          <c:val>
            <c:numRef>
              <c:f>'Executive_Dashboard'!$L$19:$L$23</c:f>
              <c:numCache>
                <c:formatCode>$#,##0.0,,"M"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RFI Response by Discipline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 Response</c:v>
          </c:tx>
          <c:cat>
            <c:strRef>
              <c:f>'Operational_Dashboard'!$P$6:$P$15</c:f>
              <c:strCache>
                <c:ptCount val="0"/>
              </c:strCache>
            </c:strRef>
          </c:cat>
          <c:val>
            <c:numRef>
              <c:f>'Operational_Dashboard'!$Q$6:$Q$15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RFI Cost Impact by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Cost Impact</c:v>
          </c:tx>
          <c:cat>
            <c:strRef>
              <c:f>'Operational_Dashboard'!$P$20:$P$26</c:f>
              <c:strCache>
                <c:ptCount val="0"/>
              </c:strCache>
            </c:strRef>
          </c:cat>
          <c:val>
            <c:numRef>
              <c:f>'Operational_Dashboard'!$Q$20:$Q$26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Approved and Pending Change Exposure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Approved Value</c:v>
          </c:tx>
          <c:cat>
            <c:strRef>
              <c:f>'Operational_Dashboard'!$P$32:$P$40</c:f>
              <c:strCache>
                <c:ptCount val="0"/>
              </c:strCache>
            </c:strRef>
          </c:cat>
          <c:val>
            <c:numRef>
              <c:f>'Operational_Dashboard'!$Q$32:$Q$40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Pending Exposure</c:v>
          </c:tx>
          <c:cat>
            <c:strRef>
              <c:f>'Operational_Dashboard'!$P$32:$P$40</c:f>
              <c:strCache>
                <c:ptCount val="0"/>
              </c:strCache>
            </c:strRef>
          </c:cat>
          <c:val>
            <c:numRef>
              <c:f>'Operational_Dashboard'!$R$32:$R$40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Highest Workflow Stage-Duration Concentration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Stage Days</c:v>
          </c:tx>
          <c:cat>
            <c:strRef>
              <c:f>'Workflow_Analysis'!$P$6:$P$15</c:f>
              <c:strCache>
                <c:ptCount val="0"/>
              </c:strCache>
            </c:strRef>
          </c:cat>
          <c:val>
            <c:numRef>
              <c:f>'Workflow_Analysis'!$Q$6:$Q$15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Approval Cycle by Owner Decision Profile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Approval</c:v>
          </c:tx>
          <c:cat>
            <c:strRef>
              <c:f>'Workflow_Analysis'!$P$26:$P$28</c:f>
              <c:strCache>
                <c:ptCount val="0"/>
              </c:strCache>
            </c:strRef>
          </c:cat>
          <c:val>
            <c:numRef>
              <c:f>'Workflow_Analysis'!$Q$26:$Q$28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8c2bf0455c4db2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e70076f418405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1521a50e034a8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bb06e7bae849fd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14</xdr:col>
      <xdr:colOff>0</xdr:colOff>
      <xdr:row>58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4a56726c5a4e9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f3d6d004fe4132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5d6e03c52542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PIData" displayName="KPIData" ref="A1:C21" headerRowCount="1">
  <x:tableColumns count="3">
    <x:tableColumn id="1" name="KPI"/>
    <x:tableColumn id="2" name="Value"/>
    <x:tableColumn id="3" name="Unit"/>
  </x:tableColumns>
  <x:tableStyleInfo name="TableStyleMedium2" showRowStripes="1"/>
</x:table>
</file>

<file path=xl/tables/table2.xml><?xml version="1.0" encoding="utf-8"?>
<x:table xmlns:x="http://schemas.openxmlformats.org/spreadsheetml/2006/main" id="2" name="HealthData" displayName="HealthData" ref="A1:B4" headerRowCount="1">
  <x:tableColumns count="2">
    <x:tableColumn id="1" name="Workflow Health"/>
    <x:tableColumn id="2" name="Project Count"/>
  </x:tableColumns>
  <x:tableStyleInfo name="TableStyleMedium2" showRowStripes="1"/>
</x:table>
</file>

<file path=xl/tables/table3.xml><?xml version="1.0" encoding="utf-8"?>
<x:table xmlns:x="http://schemas.openxmlformats.org/spreadsheetml/2006/main" id="3" name="TopData" displayName="TopData" ref="A1:J11" headerRowCount="1">
  <x:tableColumns count="10">
    <x:tableColumn id="1" name="Project_ID"/>
    <x:tableColumn id="2" name="Project_Name"/>
    <x:tableColumn id="3" name="Workflow_Risk_Score"/>
    <x:tableColumn id="4" name="Workflow_Health"/>
    <x:tableColumn id="5" name="Avg_Response_Days"/>
    <x:tableColumn id="6" name="Avg_Approval_Cycle_Days"/>
    <x:tableColumn id="7" name="Pending_Exposure_Pct_Budget"/>
    <x:tableColumn id="8" name="Overdue_Open_Rate_Pct"/>
    <x:tableColumn id="9" name="RFI_to_Change_Rate_Pct"/>
    <x:tableColumn id="10" name="Pending_Change_Exposure"/>
  </x:tableColumns>
  <x:tableStyleInfo name="TableStyleMedium2" showRowStripes="1"/>
</x:table>
</file>

<file path=xl/tables/table4.xml><?xml version="1.0" encoding="utf-8"?>
<x:table xmlns:x="http://schemas.openxmlformats.org/spreadsheetml/2006/main" id="4" name="RFIData" displayName="RFIData" ref="A1:H11" headerRowCount="1">
  <x:tableColumns count="8">
    <x:tableColumn id="1" name="Discipline"/>
    <x:tableColumn id="2" name="RFI_Count"/>
    <x:tableColumn id="3" name="Avg_Response_Days"/>
    <x:tableColumn id="4" name="On_Time_Rate"/>
    <x:tableColumn id="5" name="Overdue_Open"/>
    <x:tableColumn id="6" name="Conversion_Rate"/>
    <x:tableColumn id="7" name="Cost_Impact"/>
    <x:tableColumn id="8" name="Schedule_Days"/>
  </x:tableColumns>
  <x:tableStyleInfo name="TableStyleMedium2" showRowStripes="1"/>
</x:table>
</file>

<file path=xl/tables/table5.xml><?xml version="1.0" encoding="utf-8"?>
<x:table xmlns:x="http://schemas.openxmlformats.org/spreadsheetml/2006/main" id="5" name="RFITypeData" displayName="RFITypeData" ref="A1:G8" headerRowCount="1">
  <x:tableColumns count="7">
    <x:tableColumn id="1" name="RFI_Type"/>
    <x:tableColumn id="2" name="RFI_Count"/>
    <x:tableColumn id="3" name="Avg_Response_Days"/>
    <x:tableColumn id="4" name="On_Time_Rate"/>
    <x:tableColumn id="5" name="Conversion_Rate"/>
    <x:tableColumn id="6" name="Cost_Impact"/>
    <x:tableColumn id="7" name="Schedule_Days"/>
  </x:tableColumns>
  <x:tableStyleInfo name="TableStyleMedium2" showRowStripes="1"/>
</x:table>
</file>

<file path=xl/tables/table6.xml><?xml version="1.0" encoding="utf-8"?>
<x:table xmlns:x="http://schemas.openxmlformats.org/spreadsheetml/2006/main" id="6" name="ChangeData" displayName="ChangeData" ref="A1:J10" headerRowCount="1">
  <x:tableColumns count="10">
    <x:tableColumn id="1" name="Change_Category"/>
    <x:tableColumn id="2" name="Change_Count"/>
    <x:tableColumn id="3" name="Approved_Count"/>
    <x:tableColumn id="4" name="Pending_Count"/>
    <x:tableColumn id="5" name="Approved_Value"/>
    <x:tableColumn id="6" name="Pending_Exposure"/>
    <x:tableColumn id="7" name="Avg_Approval_Days"/>
    <x:tableColumn id="8" name="Approved_Schedule_Days"/>
    <x:tableColumn id="9" name="Linked_Change_Count"/>
    <x:tableColumn id="10" name="Avg_Forecast_Lag_Days"/>
  </x:tableColumns>
  <x:tableStyleInfo name="TableStyleMedium2" showRowStripes="1"/>
</x:table>
</file>

<file path=xl/tables/table7.xml><?xml version="1.0" encoding="utf-8"?>
<x:table xmlns:x="http://schemas.openxmlformats.org/spreadsheetml/2006/main" id="7" name="WorkflowData" displayName="WorkflowData" ref="A1:H24" headerRowCount="1">
  <x:tableColumns count="8">
    <x:tableColumn id="1" name="Item_Type"/>
    <x:tableColumn id="2" name="To_Status"/>
    <x:tableColumn id="3" name="Assigned_To_Role"/>
    <x:tableColumn id="4" name="Event_Count"/>
    <x:tableColumn id="5" name="Avg_Stage_Days"/>
    <x:tableColumn id="6" name="Total_Stage_Days"/>
    <x:tableColumn id="7" name="Handoff_Count"/>
    <x:tableColumn id="8" name="Revision_Loop_Count"/>
  </x:tableColumns>
  <x:tableStyleInfo name="TableStyleMedium2" showRowStripes="1"/>
</x:table>
</file>

<file path=xl/tables/table8.xml><?xml version="1.0" encoding="utf-8"?>
<x:table xmlns:x="http://schemas.openxmlformats.org/spreadsheetml/2006/main" id="8" name="SegmentData" displayName="SegmentData" ref="A1:H7" headerRowCount="1">
  <x:tableColumns count="8">
    <x:tableColumn id="1" name="Segment_Type"/>
    <x:tableColumn id="2" name="Segment"/>
    <x:tableColumn id="3" name="RFI_Count"/>
    <x:tableColumn id="4" name="Avg_RFI_Response_Days"/>
    <x:tableColumn id="5" name="On_Time_Rate"/>
    <x:tableColumn id="6" name="Change_Count"/>
    <x:tableColumn id="7" name="Avg_Approval_Cycle_Days"/>
    <x:tableColumn id="8" name="Pending_Exposure"/>
  </x:tableColumns>
  <x:tableStyleInfo name="TableStyleMedium2" showRowStripes="1"/>
</x:table>
</file>

<file path=xl/tables/table9.xml><?xml version="1.0" encoding="utf-8"?>
<x:table xmlns:x="http://schemas.openxmlformats.org/spreadsheetml/2006/main" id="9" name="ExecutiveHealth" displayName="ExecutiveHealth" ref="A18:B21" headerRowCount="1">
  <x:tableColumns count="2">
    <x:tableColumn id="1" name="Workflow Health"/>
    <x:tableColumn id="2" name="Projects"/>
  </x:tableColumns>
  <x:tableStyleInfo name="TableStyleMedium2" showRowStripes="1"/>
</x:table>
</file>

<file path=xl/tables/table10.xml><?xml version="1.0" encoding="utf-8"?>
<x:table xmlns:x="http://schemas.openxmlformats.org/spreadsheetml/2006/main" id="10" name="ExecutiveChange" displayName="ExecutiveChange" ref="J18:L23" headerRowCount="1">
  <x:tableColumns count="3">
    <x:tableColumn id="1" name="Change Category"/>
    <x:tableColumn id="2" name="Approved Value"/>
    <x:tableColumn id="3" name="Pending Exposure"/>
  </x:tableColumns>
  <x:tableStyleInfo name="TableStyleMedium2" showRowStripes="1"/>
</x:table>
</file>

<file path=xl/tables/table11.xml><?xml version="1.0" encoding="utf-8"?>
<x:table xmlns:x="http://schemas.openxmlformats.org/spreadsheetml/2006/main" id="11" name="ExecutivePriority" displayName="ExecutivePriority" ref="A42:G47" headerRowCount="1">
  <x:tableColumns count="7">
    <x:tableColumn id="1" name="Project ID"/>
    <x:tableColumn id="2" name="Project"/>
    <x:tableColumn id="3" name="Risk Score"/>
    <x:tableColumn id="4" name="Health"/>
    <x:tableColumn id="5" name="Avg RFI Days"/>
    <x:tableColumn id="6" name="Avg Approval Days"/>
    <x:tableColumn id="7" name="Pending / Budget"/>
  </x:tableColumns>
  <x:tableStyleInfo name="TableStyleMedium2" showRowStripes="1"/>
</x:table>
</file>

<file path=xl/tables/table12.xml><?xml version="1.0" encoding="utf-8"?>
<x:table xmlns:x="http://schemas.openxmlformats.org/spreadsheetml/2006/main" id="19" name="OpsRFIRebuilt" displayName="OpsRFIRebuilt" ref="A5:F15" headerRowCount="1">
  <x:tableColumns count="6">
    <x:tableColumn id="1" name="Discipline"/>
    <x:tableColumn id="2" name="RFIs"/>
    <x:tableColumn id="3" name="Avg Response"/>
    <x:tableColumn id="4" name="On-Time"/>
    <x:tableColumn id="5" name="Overdue Open"/>
    <x:tableColumn id="6" name="RFI-to-Change"/>
  </x:tableColumns>
  <x:tableStyleInfo name="TableStyleMedium2" showRowStripes="1"/>
</x:table>
</file>

<file path=xl/tables/table13.xml><?xml version="1.0" encoding="utf-8"?>
<x:table xmlns:x="http://schemas.openxmlformats.org/spreadsheetml/2006/main" id="20" name="OpsRFITypeRebuilt" displayName="OpsRFITypeRebuilt" ref="A19:E26" headerRowCount="1">
  <x:tableColumns count="5">
    <x:tableColumn id="1" name="RFI Type"/>
    <x:tableColumn id="2" name="RFIs"/>
    <x:tableColumn id="3" name="Cost Impact"/>
    <x:tableColumn id="4" name="Schedule Days"/>
    <x:tableColumn id="5" name="Conversion Rate"/>
  </x:tableColumns>
  <x:tableStyleInfo name="TableStyleMedium2" showRowStripes="1"/>
</x:table>
</file>

<file path=xl/tables/table14.xml><?xml version="1.0" encoding="utf-8"?>
<x:table xmlns:x="http://schemas.openxmlformats.org/spreadsheetml/2006/main" id="21" name="OpsChangeRebuilt" displayName="OpsChangeRebuilt" ref="A31:G40" headerRowCount="1">
  <x:tableColumns count="7">
    <x:tableColumn id="1" name="Change Category"/>
    <x:tableColumn id="2" name="Count"/>
    <x:tableColumn id="3" name="Approved"/>
    <x:tableColumn id="4" name="Pending"/>
    <x:tableColumn id="5" name="Approved Value"/>
    <x:tableColumn id="6" name="Pending Exposure"/>
    <x:tableColumn id="7" name="Avg Approval"/>
  </x:tableColumns>
  <x:tableStyleInfo name="TableStyleMedium2" showRowStripes="1"/>
</x:table>
</file>

<file path=xl/tables/table15.xml><?xml version="1.0" encoding="utf-8"?>
<x:table xmlns:x="http://schemas.openxmlformats.org/spreadsheetml/2006/main" id="17" name="PriorityTable" displayName="PriorityTable" ref="A5:K15" headerRowCount="1">
  <x:tableColumns count="11">
    <x:tableColumn id="1" name="Rank"/>
    <x:tableColumn id="2" name="Project ID"/>
    <x:tableColumn id="3" name="Project Name"/>
    <x:tableColumn id="4" name="Risk Score"/>
    <x:tableColumn id="5" name="Health"/>
    <x:tableColumn id="6" name="Avg RFI Days"/>
    <x:tableColumn id="7" name="Avg Approval Days"/>
    <x:tableColumn id="8" name="Pending / Budget"/>
    <x:tableColumn id="9" name="Overdue Open Rate"/>
    <x:tableColumn id="10" name="RFI-to-Change"/>
    <x:tableColumn id="11" name="Pending Exposure"/>
  </x:tableColumns>
  <x:tableStyleInfo name="TableStyleMedium2" showRowStripes="1"/>
</x:table>
</file>

<file path=xl/tables/table16.xml><?xml version="1.0" encoding="utf-8"?>
<x:table xmlns:x="http://schemas.openxmlformats.org/spreadsheetml/2006/main" id="18" name="SourcesTable" displayName="SourcesTable" ref="A5:D11" headerRowCount="1">
  <x:tableColumns count="4">
    <x:tableColumn id="1" name="Source Type"/>
    <x:tableColumn id="2" name="Source"/>
    <x:tableColumn id="3" name="Location / URL"/>
    <x:tableColumn id="4" name="Use"/>
  </x:tableColumns>
  <x:tableStyleInfo name="TableStyleMedium2" showRowStripes="1"/>
</x:table>
</file>

<file path=xl/tables/table17.xml><?xml version="1.0" encoding="utf-8"?>
<x:table xmlns:x="http://schemas.openxmlformats.org/spreadsheetml/2006/main" id="22" name="WorkflowDetailTable" displayName="WorkflowDetailTable" ref="A5:H20" headerRowCount="1">
  <x:tableColumns count="8">
    <x:tableColumn id="1" name="Item Type"/>
    <x:tableColumn id="2" name="Status"/>
    <x:tableColumn id="3" name="Assigned Role"/>
    <x:tableColumn id="4" name="Events"/>
    <x:tableColumn id="5" name="Avg Stage Days"/>
    <x:tableColumn id="6" name="Total Stage Days"/>
    <x:tableColumn id="7" name="Handoffs"/>
    <x:tableColumn id="8" name="Revision Loops"/>
  </x:tableColumns>
  <x:tableStyleInfo name="TableStyleMedium2" showRowStripes="1"/>
</x:table>
</file>

<file path=xl/tables/table18.xml><?xml version="1.0" encoding="utf-8"?>
<x:table xmlns:x="http://schemas.openxmlformats.org/spreadsheetml/2006/main" id="23" name="SegmentDetailTable" displayName="SegmentDetailTable" ref="A25:H31" headerRowCount="1">
  <x:tableColumns count="8">
    <x:tableColumn id="1" name="Segment Type"/>
    <x:tableColumn id="2" name="Segment"/>
    <x:tableColumn id="3" name="RFIs"/>
    <x:tableColumn id="4" name="Avg RFI Days"/>
    <x:tableColumn id="5" name="On-Time"/>
    <x:tableColumn id="6" name="Changes"/>
    <x:tableColumn id="7" name="Avg Approval"/>
    <x:tableColumn id="8" name="Pending Exposu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b3817cd8354d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34dc22e3c944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3b5552b6e547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eed43c0f32b4a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c8be950a6f24c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ff0af6fe2904c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6d2e065610544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e58f50a47f249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48deb85d5dd64efc" /><Relationship Type="http://schemas.openxmlformats.org/officeDocument/2006/relationships/table" Target="/xl/tables/table9.xml" Id="Ra7b9ce2638dd4a32" /><Relationship Type="http://schemas.openxmlformats.org/officeDocument/2006/relationships/table" Target="/xl/tables/table10.xml" Id="R720912e4823142ac" /><Relationship Type="http://schemas.openxmlformats.org/officeDocument/2006/relationships/table" Target="/xl/tables/table11.xml" Id="Reee5b8a0bedf4b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1af798292e9a41b6" /><Relationship Type="http://schemas.openxmlformats.org/officeDocument/2006/relationships/table" Target="/xl/tables/table12.xml" Id="R68ed1b4874544021" /><Relationship Type="http://schemas.openxmlformats.org/officeDocument/2006/relationships/table" Target="/xl/tables/table13.xml" Id="Rbfab483bdd6041fd" /><Relationship Type="http://schemas.openxmlformats.org/officeDocument/2006/relationships/table" Target="/xl/tables/table14.xml" Id="R7a2333daf0aa4e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5.xml" Id="R6e1de255eacf43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6.xml" Id="R61a37116f84f43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3.xml" Id="Rbf6a6752952b459f" /><Relationship Type="http://schemas.openxmlformats.org/officeDocument/2006/relationships/table" Target="/xl/tables/table17.xml" Id="R070c69d8a2174920" /><Relationship Type="http://schemas.openxmlformats.org/officeDocument/2006/relationships/table" Target="/xl/tables/table18.xml" Id="Rd89a5a967f1647a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6" t="str">
        <x:v>KPI</x:v>
      </x:c>
      <x:c r="B1" s="6" t="str">
        <x:v>Value</x:v>
      </x:c>
      <x:c r="C1" s="6" t="str">
        <x:v>Unit</x:v>
      </x:c>
      <x:c r="D1" s="368"/>
      <x:c r="E1" s="368"/>
      <x:c r="F1" s="368"/>
      <x:c r="G1" s="368"/>
      <x:c r="H1" s="368"/>
      <x:c r="I1" s="368"/>
      <x:c r="J1" s="368"/>
      <x:c r="K1" s="368"/>
      <x:c r="L1" s="368"/>
      <x:c r="M1" s="368"/>
      <x:c r="N1" s="368"/>
      <x:c r="O1" s="368"/>
      <x:c r="P1" s="368"/>
      <x:c r="Q1" s="368"/>
      <x:c r="R1" s="368"/>
      <x:c r="S1" s="368"/>
      <x:c r="T1" s="368"/>
      <x:c r="U1" s="368"/>
      <x:c r="V1" s="368"/>
      <x:c r="W1" s="368"/>
      <x:c r="X1" s="368"/>
      <x:c r="Y1" s="368"/>
      <x:c r="Z1" s="368"/>
    </x:row>
    <x:row r="2">
      <x:c r="A2" t="str">
        <x:v>Projects</x:v>
      </x:c>
      <x:c r="B2" t="n">
        <x:v>90</x:v>
      </x:c>
      <x:c r="C2" t="str">
        <x:v>count</x:v>
      </x:c>
    </x:row>
    <x:row r="3">
      <x:c r="A3" t="str">
        <x:v>RFIs</x:v>
      </x:c>
      <x:c r="B3" t="n">
        <x:v>3318</x:v>
      </x:c>
      <x:c r="C3" t="str">
        <x:v>count</x:v>
      </x:c>
    </x:row>
    <x:row r="4">
      <x:c r="A4" t="str">
        <x:v>Average RFI response</x:v>
      </x:c>
      <x:c r="B4" t="n">
        <x:v>12.21</x:v>
      </x:c>
      <x:c r="C4" t="str">
        <x:v>days</x:v>
      </x:c>
    </x:row>
    <x:row r="5">
      <x:c r="A5" t="str">
        <x:v>Median RFI response</x:v>
      </x:c>
      <x:c r="B5" t="n">
        <x:v>10</x:v>
      </x:c>
      <x:c r="C5" t="str">
        <x:v>days</x:v>
      </x:c>
    </x:row>
    <x:row r="6">
      <x:c r="A6" t="str">
        <x:v>RFI on-time rate</x:v>
      </x:c>
      <x:c r="B6" t="n">
        <x:v>45.68</x:v>
      </x:c>
      <x:c r="C6" t="str">
        <x:v>percent</x:v>
      </x:c>
    </x:row>
    <x:row r="7">
      <x:c r="A7" t="str">
        <x:v>Open RFIs</x:v>
      </x:c>
      <x:c r="B7" t="n">
        <x:v>299</x:v>
      </x:c>
      <x:c r="C7" t="str">
        <x:v>count</x:v>
      </x:c>
    </x:row>
    <x:row r="8">
      <x:c r="A8" t="str">
        <x:v>Overdue open RFIs</x:v>
      </x:c>
      <x:c r="B8" t="n">
        <x:v>295</x:v>
      </x:c>
      <x:c r="C8" t="str">
        <x:v>count</x:v>
      </x:c>
    </x:row>
    <x:row r="9">
      <x:c r="A9" t="str">
        <x:v>RFI-to-change conversion</x:v>
      </x:c>
      <x:c r="B9" t="n">
        <x:v>17.15</x:v>
      </x:c>
      <x:c r="C9" t="str">
        <x:v>percent</x:v>
      </x:c>
    </x:row>
    <x:row r="10">
      <x:c r="A10" t="str">
        <x:v>RFI actual cost impact</x:v>
      </x:c>
      <x:c r="B10" t="n">
        <x:v>29608500</x:v>
      </x:c>
      <x:c r="C10" t="str">
        <x:v>USD</x:v>
      </x:c>
    </x:row>
    <x:row r="11">
      <x:c r="A11" t="str">
        <x:v>RFI actual schedule impact</x:v>
      </x:c>
      <x:c r="B11" t="n">
        <x:v>2572</x:v>
      </x:c>
      <x:c r="C11" t="str">
        <x:v>days</x:v>
      </x:c>
    </x:row>
    <x:row r="12">
      <x:c r="A12" t="str">
        <x:v>Change orders</x:v>
      </x:c>
      <x:c r="B12" t="n">
        <x:v>1119</x:v>
      </x:c>
      <x:c r="C12" t="str">
        <x:v>count</x:v>
      </x:c>
    </x:row>
    <x:row r="13">
      <x:c r="A13" t="str">
        <x:v>Approved changes</x:v>
      </x:c>
      <x:c r="B13" t="n">
        <x:v>706</x:v>
      </x:c>
      <x:c r="C13" t="str">
        <x:v>count</x:v>
      </x:c>
    </x:row>
    <x:row r="14">
      <x:c r="A14" t="str">
        <x:v>Approved change value</x:v>
      </x:c>
      <x:c r="B14" t="n">
        <x:v>204568300</x:v>
      </x:c>
      <x:c r="C14" t="str">
        <x:v>USD</x:v>
      </x:c>
    </x:row>
    <x:row r="15">
      <x:c r="A15" t="str">
        <x:v>Pending change exposure</x:v>
      </x:c>
      <x:c r="B15" t="n">
        <x:v>88104000</x:v>
      </x:c>
      <x:c r="C15" t="str">
        <x:v>USD absolute</x:v>
      </x:c>
    </x:row>
    <x:row r="16">
      <x:c r="A16" t="str">
        <x:v>Average approval cycle</x:v>
      </x:c>
      <x:c r="B16" t="n">
        <x:v>28.91</x:v>
      </x:c>
      <x:c r="C16" t="str">
        <x:v>days</x:v>
      </x:c>
    </x:row>
    <x:row r="17">
      <x:c r="A17" t="str">
        <x:v>Median approval cycle</x:v>
      </x:c>
      <x:c r="B17" t="n">
        <x:v>25</x:v>
      </x:c>
      <x:c r="C17" t="str">
        <x:v>days</x:v>
      </x:c>
    </x:row>
    <x:row r="18">
      <x:c r="A18" t="str">
        <x:v>Old pending changes &gt;35 days</x:v>
      </x:c>
      <x:c r="B18" t="n">
        <x:v>219</x:v>
      </x:c>
      <x:c r="C18" t="str">
        <x:v>count</x:v>
      </x:c>
    </x:row>
    <x:row r="19">
      <x:c r="A19" t="str">
        <x:v>Average forecast incorporation lag</x:v>
      </x:c>
      <x:c r="B19" t="n">
        <x:v>6.58</x:v>
      </x:c>
      <x:c r="C19" t="str">
        <x:v>days</x:v>
      </x:c>
    </x:row>
    <x:row r="20">
      <x:c r="A20" t="str">
        <x:v>Linked approved change value</x:v>
      </x:c>
      <x:c r="B20" t="n">
        <x:v>113056700</x:v>
      </x:c>
      <x:c r="C20" t="str">
        <x:v>USD unique changes</x:v>
      </x:c>
    </x:row>
    <x:row r="21">
      <x:c r="A21" t="str">
        <x:v>Median RFI-to-change identification lag</x:v>
      </x:c>
      <x:c r="B21" t="n">
        <x:v>47</x:v>
      </x:c>
      <x:c r="C21" t="str">
        <x:v>days</x:v>
      </x:c>
    </x:row>
  </x:sheetData>
  <x:pageMargins left="0.7" right="0.7" top="0.75" bottom="0.75" header="0.3" footer="0.3"/>
  <x:tableParts count="1">
    <x:tablePart xmlns:r="http://schemas.openxmlformats.org/officeDocument/2006/relationships" r:id="Rd8b3817cd8354d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6" t="str">
        <x:v>Workflow Health</x:v>
      </x:c>
      <x:c r="B1" s="6" t="str">
        <x:v>Project Count</x:v>
      </x:c>
      <x:c r="C1" s="368"/>
      <x:c r="D1" s="368"/>
      <x:c r="E1" s="368"/>
      <x:c r="F1" s="368"/>
      <x:c r="G1" s="368"/>
      <x:c r="H1" s="368"/>
      <x:c r="I1" s="368"/>
      <x:c r="J1" s="368"/>
      <x:c r="K1" s="368"/>
      <x:c r="L1" s="368"/>
      <x:c r="M1" s="368"/>
      <x:c r="N1" s="368"/>
      <x:c r="O1" s="368"/>
      <x:c r="P1" s="368"/>
      <x:c r="Q1" s="368"/>
      <x:c r="R1" s="368"/>
      <x:c r="S1" s="368"/>
      <x:c r="T1" s="368"/>
      <x:c r="U1" s="368"/>
      <x:c r="V1" s="368"/>
      <x:c r="W1" s="368"/>
      <x:c r="X1" s="368"/>
      <x:c r="Y1" s="368"/>
      <x:c r="Z1" s="368"/>
    </x:row>
    <x:row r="2">
      <x:c r="A2" t="str">
        <x:v>Red</x:v>
      </x:c>
      <x:c r="B2" t="n">
        <x:v>29</x:v>
      </x:c>
    </x:row>
    <x:row r="3">
      <x:c r="A3" t="str">
        <x:v>Yellow</x:v>
      </x:c>
      <x:c r="B3" t="n">
        <x:v>48</x:v>
      </x:c>
    </x:row>
    <x:row r="4">
      <x:c r="A4" t="str">
        <x:v>Green</x:v>
      </x:c>
      <x:c r="B4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7334dc22e3c944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6" t="str">
        <x:v>Project_ID</x:v>
      </x:c>
      <x:c r="B1" s="6" t="str">
        <x:v>Project_Name</x:v>
      </x:c>
      <x:c r="C1" s="6" t="str">
        <x:v>Workflow_Risk_Score</x:v>
      </x:c>
      <x:c r="D1" s="6" t="str">
        <x:v>Workflow_Health</x:v>
      </x:c>
      <x:c r="E1" s="6" t="str">
        <x:v>Avg_Response_Days</x:v>
      </x:c>
      <x:c r="F1" s="6" t="str">
        <x:v>Avg_Approval_Cycle_Days</x:v>
      </x:c>
      <x:c r="G1" s="6" t="str">
        <x:v>Pending_Exposure_Pct_Budget</x:v>
      </x:c>
      <x:c r="H1" s="6" t="str">
        <x:v>Overdue_Open_Rate_Pct</x:v>
      </x:c>
      <x:c r="I1" s="6" t="str">
        <x:v>RFI_to_Change_Rate_Pct</x:v>
      </x:c>
      <x:c r="J1" s="6" t="str">
        <x:v>Pending_Change_Exposure</x:v>
      </x:c>
      <x:c r="K1" s="368"/>
      <x:c r="L1" s="368"/>
      <x:c r="M1" s="368"/>
      <x:c r="N1" s="368"/>
      <x:c r="O1" s="368"/>
      <x:c r="P1" s="368"/>
      <x:c r="Q1" s="368"/>
      <x:c r="R1" s="368"/>
      <x:c r="S1" s="368"/>
      <x:c r="T1" s="368"/>
      <x:c r="U1" s="368"/>
      <x:c r="V1" s="368"/>
      <x:c r="W1" s="368"/>
      <x:c r="X1" s="368"/>
      <x:c r="Y1" s="368"/>
      <x:c r="Z1" s="368"/>
    </x:row>
    <x:row r="2">
      <x:c r="A2" t="str">
        <x:v>PRJ-006</x:v>
      </x:c>
      <x:c r="B2" t="str">
        <x:v>Summit Corporate Center</x:v>
      </x:c>
      <x:c r="C2" t="n">
        <x:v>10</x:v>
      </x:c>
      <x:c r="D2" t="str">
        <x:v>Red</x:v>
      </x:c>
      <x:c r="E2" t="n">
        <x:v>11.484848484848484</x:v>
      </x:c>
      <x:c r="F2" t="n">
        <x:v>32.5</x:v>
      </x:c>
      <x:c r="G2" t="n">
        <x:v>0.02658</x:v>
      </x:c>
      <x:c r="H2" t="n">
        <x:v>0.175</x:v>
      </x:c>
      <x:c r="I2" t="n">
        <x:v>0.15</x:v>
      </x:c>
      <x:c r="J2" t="n">
        <x:v>2836000</x:v>
      </x:c>
    </x:row>
    <x:row r="3">
      <x:c r="A3" t="str">
        <x:v>PRJ-025</x:v>
      </x:c>
      <x:c r="B3" t="str">
        <x:v>Canyon Transit-Oriented Development</x:v>
      </x:c>
      <x:c r="C3" t="n">
        <x:v>9</x:v>
      </x:c>
      <x:c r="D3" t="str">
        <x:v>Red</x:v>
      </x:c>
      <x:c r="E3" t="n">
        <x:v>17.032258064516128</x:v>
      </x:c>
      <x:c r="F3" t="n">
        <x:v>51</x:v>
      </x:c>
      <x:c r="G3" t="n">
        <x:v>0.029500000000000002</x:v>
      </x:c>
      <x:c r="H3" t="n">
        <x:v>0.225</x:v>
      </x:c>
      <x:c r="I3" t="n">
        <x:v>0.15</x:v>
      </x:c>
      <x:c r="J3" t="n">
        <x:v>1359000</x:v>
      </x:c>
    </x:row>
    <x:row r="4">
      <x:c r="A4" t="str">
        <x:v>PRJ-075</x:v>
      </x:c>
      <x:c r="B4" t="str">
        <x:v>Summit Urban Village</x:v>
      </x:c>
      <x:c r="C4" t="n">
        <x:v>9</x:v>
      </x:c>
      <x:c r="D4" t="str">
        <x:v>Red</x:v>
      </x:c>
      <x:c r="E4" t="n">
        <x:v>18.583333333333332</x:v>
      </x:c>
      <x:c r="F4" t="n">
        <x:v>43.625</x:v>
      </x:c>
      <x:c r="G4" t="n">
        <x:v>0.01403</x:v>
      </x:c>
      <x:c r="H4" t="n">
        <x:v>0.1091</x:v>
      </x:c>
      <x:c r="I4" t="n">
        <x:v>0.2545</x:v>
      </x:c>
      <x:c r="J4" t="n">
        <x:v>3400000</x:v>
      </x:c>
    </x:row>
    <x:row r="5">
      <x:c r="A5" t="str">
        <x:v>PRJ-051</x:v>
      </x:c>
      <x:c r="B5" t="str">
        <x:v>Evergreen Apartments</x:v>
      </x:c>
      <x:c r="C5" t="n">
        <x:v>9</x:v>
      </x:c>
      <x:c r="D5" t="str">
        <x:v>Red</x:v>
      </x:c>
      <x:c r="E5" t="n">
        <x:v>21.096153846153847</x:v>
      </x:c>
      <x:c r="F5" t="n">
        <x:v>45.857142857142854</x:v>
      </x:c>
      <x:c r="G5" t="n">
        <x:v>0.005620000000000001</x:v>
      </x:c>
      <x:c r="H5" t="n">
        <x:v>0.1613</x:v>
      </x:c>
      <x:c r="I5" t="n">
        <x:v>0.17739999999999997</x:v>
      </x:c>
      <x:c r="J5" t="n">
        <x:v>763000</x:v>
      </x:c>
    </x:row>
    <x:row r="6">
      <x:c r="A6" t="str">
        <x:v>PRJ-013</x:v>
      </x:c>
      <x:c r="B6" t="str">
        <x:v>Aspen Civic Complex 2</x:v>
      </x:c>
      <x:c r="C6" t="n">
        <x:v>9</x:v>
      </x:c>
      <x:c r="D6" t="str">
        <x:v>Red</x:v>
      </x:c>
      <x:c r="E6" t="n">
        <x:v>10.394736842105264</x:v>
      </x:c>
      <x:c r="F6" t="n">
        <x:v>29.571428571428573</x:v>
      </x:c>
      <x:c r="G6" t="n">
        <x:v>0.00515</x:v>
      </x:c>
      <x:c r="H6" t="n">
        <x:v>0.15560000000000002</x:v>
      </x:c>
      <x:c r="I6" t="n">
        <x:v>0.15560000000000002</x:v>
      </x:c>
      <x:c r="J6" t="n">
        <x:v>1114000</x:v>
      </x:c>
    </x:row>
    <x:row r="7">
      <x:c r="A7" t="str">
        <x:v>PRJ-016</x:v>
      </x:c>
      <x:c r="B7" t="str">
        <x:v>Evergreen Town Center</x:v>
      </x:c>
      <x:c r="C7" t="n">
        <x:v>8</x:v>
      </x:c>
      <x:c r="D7" t="str">
        <x:v>Red</x:v>
      </x:c>
      <x:c r="E7" t="n">
        <x:v>17.025</x:v>
      </x:c>
      <x:c r="F7" t="n">
        <x:v>35.6</x:v>
      </x:c>
      <x:c r="G7" t="n">
        <x:v>0.018340000000000002</x:v>
      </x:c>
      <x:c r="H7" t="n">
        <x:v>0.0698</x:v>
      </x:c>
      <x:c r="I7" t="n">
        <x:v>0.1628</x:v>
      </x:c>
      <x:c r="J7" t="n">
        <x:v>3511000</x:v>
      </x:c>
    </x:row>
    <x:row r="8">
      <x:c r="A8" t="str">
        <x:v>PRJ-039</x:v>
      </x:c>
      <x:c r="B8" t="str">
        <x:v>Silver Creek Urban Village 2</x:v>
      </x:c>
      <x:c r="C8" t="n">
        <x:v>8</x:v>
      </x:c>
      <x:c r="D8" t="str">
        <x:v>Red</x:v>
      </x:c>
      <x:c r="E8" t="n">
        <x:v>12.307692307692308</x:v>
      </x:c>
      <x:c r="F8" t="n">
        <x:v>39.333333333333336</x:v>
      </x:c>
      <x:c r="G8" t="n">
        <x:v>0.01401</x:v>
      </x:c>
      <x:c r="H8" t="n">
        <x:v>0.025</x:v>
      </x:c>
      <x:c r="I8" t="n">
        <x:v>0.175</x:v>
      </x:c>
      <x:c r="J8" t="n">
        <x:v>1124000</x:v>
      </x:c>
    </x:row>
    <x:row r="9">
      <x:c r="A9" t="str">
        <x:v>PRJ-019</x:v>
      </x:c>
      <x:c r="B9" t="str">
        <x:v>Pioneer Research Center</x:v>
      </x:c>
      <x:c r="C9" t="n">
        <x:v>8</x:v>
      </x:c>
      <x:c r="D9" t="str">
        <x:v>Red</x:v>
      </x:c>
      <x:c r="E9" t="n">
        <x:v>14.942307692307692</x:v>
      </x:c>
      <x:c r="F9" t="n">
        <x:v>35.8</x:v>
      </x:c>
      <x:c r="G9" t="n">
        <x:v>0.0126</x:v>
      </x:c>
      <x:c r="H9" t="n">
        <x:v>0.07139999999999999</x:v>
      </x:c>
      <x:c r="I9" t="n">
        <x:v>0.1607</x:v>
      </x:c>
      <x:c r="J9" t="n">
        <x:v>3711000</x:v>
      </x:c>
    </x:row>
    <x:row r="10">
      <x:c r="A10" t="str">
        <x:v>PRJ-017</x:v>
      </x:c>
      <x:c r="B10" t="str">
        <x:v>Mountain Gate Transit Center</x:v>
      </x:c>
      <x:c r="C10" t="n">
        <x:v>8</x:v>
      </x:c>
      <x:c r="D10" t="str">
        <x:v>Red</x:v>
      </x:c>
      <x:c r="E10" t="n">
        <x:v>19.03921568627451</x:v>
      </x:c>
      <x:c r="F10" t="n">
        <x:v>33.2</x:v>
      </x:c>
      <x:c r="G10" t="n">
        <x:v>0.00831</x:v>
      </x:c>
      <x:c r="H10" t="n">
        <x:v>0.16390000000000002</x:v>
      </x:c>
      <x:c r="I10" t="n">
        <x:v>0.18030000000000002</x:v>
      </x:c>
      <x:c r="J10" t="n">
        <x:v>1146000</x:v>
      </x:c>
    </x:row>
    <x:row r="11">
      <x:c r="A11" t="str">
        <x:v>PRJ-021</x:v>
      </x:c>
      <x:c r="B11" t="str">
        <x:v>Desert View Processing Plant</x:v>
      </x:c>
      <x:c r="C11" t="n">
        <x:v>8</x:v>
      </x:c>
      <x:c r="D11" t="str">
        <x:v>Red</x:v>
      </x:c>
      <x:c r="E11" t="n">
        <x:v>18</x:v>
      </x:c>
      <x:c r="F11" t="n">
        <x:v>36.45454545454545</x:v>
      </x:c>
      <x:c r="G11" t="n">
        <x:v>0.00172</x:v>
      </x:c>
      <x:c r="H11" t="n">
        <x:v>0.0294</x:v>
      </x:c>
      <x:c r="I11" t="n">
        <x:v>0.2059</x:v>
      </x:c>
      <x:c r="J11" t="n">
        <x:v>181000</x:v>
      </x:c>
    </x:row>
  </x:sheetData>
  <x:pageMargins left="0.7" right="0.7" top="0.75" bottom="0.75" header="0.3" footer="0.3"/>
  <x:tableParts count="1">
    <x:tablePart xmlns:r="http://schemas.openxmlformats.org/officeDocument/2006/relationships" r:id="R2a3b5552b6e547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6" t="str">
        <x:v>Discipline</x:v>
      </x:c>
      <x:c r="B1" s="6" t="str">
        <x:v>RFI_Count</x:v>
      </x:c>
      <x:c r="C1" s="6" t="str">
        <x:v>Avg_Response_Days</x:v>
      </x:c>
      <x:c r="D1" s="6" t="str">
        <x:v>On_Time_Rate</x:v>
      </x:c>
      <x:c r="E1" s="6" t="str">
        <x:v>Overdue_Open</x:v>
      </x:c>
      <x:c r="F1" s="6" t="str">
        <x:v>Conversion_Rate</x:v>
      </x:c>
      <x:c r="G1" s="6" t="str">
        <x:v>Cost_Impact</x:v>
      </x:c>
      <x:c r="H1" s="6" t="str">
        <x:v>Schedule_Days</x:v>
      </x:c>
      <x:c r="I1" s="368"/>
      <x:c r="J1" s="368"/>
      <x:c r="K1" s="368"/>
      <x:c r="L1" s="368"/>
      <x:c r="M1" s="368"/>
      <x:c r="N1" s="368"/>
      <x:c r="O1" s="368"/>
      <x:c r="P1" s="368"/>
      <x:c r="Q1" s="368"/>
      <x:c r="R1" s="368"/>
      <x:c r="S1" s="368"/>
      <x:c r="T1" s="368"/>
      <x:c r="U1" s="368"/>
      <x:c r="V1" s="368"/>
      <x:c r="W1" s="368"/>
      <x:c r="X1" s="368"/>
      <x:c r="Y1" s="368"/>
      <x:c r="Z1" s="368"/>
    </x:row>
    <x:row r="2">
      <x:c r="A2" t="str">
        <x:v>Specialty Systems</x:v>
      </x:c>
      <x:c r="B2" t="n">
        <x:v>231</x:v>
      </x:c>
      <x:c r="C2" t="n">
        <x:v>13.64</x:v>
      </x:c>
      <x:c r="D2" t="n">
        <x:v>0.41200000000000003</x:v>
      </x:c>
      <x:c r="E2" t="n">
        <x:v>20</x:v>
      </x:c>
      <x:c r="F2" t="n">
        <x:v>0.147</x:v>
      </x:c>
      <x:c r="G2" t="n">
        <x:v>1872400</x:v>
      </x:c>
      <x:c r="H2" t="n">
        <x:v>188</x:v>
      </x:c>
    </x:row>
    <x:row r="3">
      <x:c r="A3" t="str">
        <x:v>Mechanical</x:v>
      </x:c>
      <x:c r="B3" t="n">
        <x:v>480</x:v>
      </x:c>
      <x:c r="C3" t="n">
        <x:v>13.43</x:v>
      </x:c>
      <x:c r="D3" t="n">
        <x:v>0.387</x:v>
      </x:c>
      <x:c r="E3" t="n">
        <x:v>40</x:v>
      </x:c>
      <x:c r="F3" t="n">
        <x:v>0.192</x:v>
      </x:c>
      <x:c r="G3" t="n">
        <x:v>4939500</x:v>
      </x:c>
      <x:c r="H3" t="n">
        <x:v>365</x:v>
      </x:c>
    </x:row>
    <x:row r="4">
      <x:c r="A4" t="str">
        <x:v>Electrical</x:v>
      </x:c>
      <x:c r="B4" t="n">
        <x:v>518</x:v>
      </x:c>
      <x:c r="C4" t="n">
        <x:v>12.98</x:v>
      </x:c>
      <x:c r="D4" t="n">
        <x:v>0.425</x:v>
      </x:c>
      <x:c r="E4" t="n">
        <x:v>50</x:v>
      </x:c>
      <x:c r="F4" t="n">
        <x:v>0.17800000000000002</x:v>
      </x:c>
      <x:c r="G4" t="n">
        <x:v>5146900</x:v>
      </x:c>
      <x:c r="H4" t="n">
        <x:v>436</x:v>
      </x:c>
    </x:row>
    <x:row r="5">
      <x:c r="A5" t="str">
        <x:v>Structural</x:v>
      </x:c>
      <x:c r="B5" t="n">
        <x:v>413</x:v>
      </x:c>
      <x:c r="C5" t="n">
        <x:v>12.95</x:v>
      </x:c>
      <x:c r="D5" t="n">
        <x:v>0.41100000000000003</x:v>
      </x:c>
      <x:c r="E5" t="n">
        <x:v>43</x:v>
      </x:c>
      <x:c r="F5" t="n">
        <x:v>0.174</x:v>
      </x:c>
      <x:c r="G5" t="n">
        <x:v>2972300</x:v>
      </x:c>
      <x:c r="H5" t="n">
        <x:v>302</x:v>
      </x:c>
    </x:row>
    <x:row r="6">
      <x:c r="A6" t="str">
        <x:v>Fire Protection</x:v>
      </x:c>
      <x:c r="B6" t="n">
        <x:v>181</x:v>
      </x:c>
      <x:c r="C6" t="n">
        <x:v>12.41</x:v>
      </x:c>
      <x:c r="D6" t="n">
        <x:v>0.434</x:v>
      </x:c>
      <x:c r="E6" t="n">
        <x:v>8</x:v>
      </x:c>
      <x:c r="F6" t="n">
        <x:v>0.166</x:v>
      </x:c>
      <x:c r="G6" t="n">
        <x:v>2022800</x:v>
      </x:c>
      <x:c r="H6" t="n">
        <x:v>152</x:v>
      </x:c>
    </x:row>
    <x:row r="7">
      <x:c r="A7" t="str">
        <x:v>Civil</x:v>
      </x:c>
      <x:c r="B7" t="n">
        <x:v>285</x:v>
      </x:c>
      <x:c r="C7" t="n">
        <x:v>12.38</x:v>
      </x:c>
      <x:c r="D7" t="n">
        <x:v>0.449</x:v>
      </x:c>
      <x:c r="E7" t="n">
        <x:v>21</x:v>
      </x:c>
      <x:c r="F7" t="n">
        <x:v>0.175</x:v>
      </x:c>
      <x:c r="G7" t="n">
        <x:v>2363600</x:v>
      </x:c>
      <x:c r="H7" t="n">
        <x:v>219</x:v>
      </x:c>
    </x:row>
    <x:row r="8">
      <x:c r="A8" t="str">
        <x:v>Controls</x:v>
      </x:c>
      <x:c r="B8" t="n">
        <x:v>157</x:v>
      </x:c>
      <x:c r="C8" t="n">
        <x:v>12.18</x:v>
      </x:c>
      <x:c r="D8" t="n">
        <x:v>0.49</x:v>
      </x:c>
      <x:c r="E8" t="n">
        <x:v>10</x:v>
      </x:c>
      <x:c r="F8" t="n">
        <x:v>0.191</x:v>
      </x:c>
      <x:c r="G8" t="n">
        <x:v>1821600</x:v>
      </x:c>
      <x:c r="H8" t="n">
        <x:v>158</x:v>
      </x:c>
    </x:row>
    <x:row r="9">
      <x:c r="A9" t="str">
        <x:v>Plumbing</x:v>
      </x:c>
      <x:c r="B9" t="n">
        <x:v>283</x:v>
      </x:c>
      <x:c r="C9" t="n">
        <x:v>11.18</x:v>
      </x:c>
      <x:c r="D9" t="n">
        <x:v>0.486</x:v>
      </x:c>
      <x:c r="E9" t="n">
        <x:v>28</x:v>
      </x:c>
      <x:c r="F9" t="n">
        <x:v>0.134</x:v>
      </x:c>
      <x:c r="G9" t="n">
        <x:v>2997100</x:v>
      </x:c>
      <x:c r="H9" t="n">
        <x:v>229</x:v>
      </x:c>
    </x:row>
    <x:row r="10">
      <x:c r="A10" t="str">
        <x:v>Architectural</x:v>
      </x:c>
      <x:c r="B10" t="n">
        <x:v>495</x:v>
      </x:c>
      <x:c r="C10" t="n">
        <x:v>10.89</x:v>
      </x:c>
      <x:c r="D10" t="n">
        <x:v>0.51</x:v>
      </x:c>
      <x:c r="E10" t="n">
        <x:v>53</x:v>
      </x:c>
      <x:c r="F10" t="n">
        <x:v>0.168</x:v>
      </x:c>
      <x:c r="G10" t="n">
        <x:v>3309000</x:v>
      </x:c>
      <x:c r="H10" t="n">
        <x:v>316</x:v>
      </x:c>
    </x:row>
    <x:row r="11">
      <x:c r="A11" t="str">
        <x:v>General</x:v>
      </x:c>
      <x:c r="B11" t="n">
        <x:v>275</x:v>
      </x:c>
      <x:c r="C11" t="n">
        <x:v>9.46</x:v>
      </x:c>
      <x:c r="D11" t="n">
        <x:v>0.623</x:v>
      </x:c>
      <x:c r="E11" t="n">
        <x:v>22</x:v>
      </x:c>
      <x:c r="F11" t="n">
        <x:v>0.175</x:v>
      </x:c>
      <x:c r="G11" t="n">
        <x:v>2163300</x:v>
      </x:c>
      <x:c r="H11" t="n">
        <x:v>207</x:v>
      </x:c>
    </x:row>
  </x:sheetData>
  <x:pageMargins left="0.7" right="0.7" top="0.75" bottom="0.75" header="0.3" footer="0.3"/>
  <x:tableParts count="1">
    <x:tablePart xmlns:r="http://schemas.openxmlformats.org/officeDocument/2006/relationships" r:id="R3eed43c0f32b4a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6" t="str">
        <x:v>RFI_Type</x:v>
      </x:c>
      <x:c r="B1" s="6" t="str">
        <x:v>RFI_Count</x:v>
      </x:c>
      <x:c r="C1" s="6" t="str">
        <x:v>Avg_Response_Days</x:v>
      </x:c>
      <x:c r="D1" s="6" t="str">
        <x:v>On_Time_Rate</x:v>
      </x:c>
      <x:c r="E1" s="6" t="str">
        <x:v>Conversion_Rate</x:v>
      </x:c>
      <x:c r="F1" s="6" t="str">
        <x:v>Cost_Impact</x:v>
      </x:c>
      <x:c r="G1" s="6" t="str">
        <x:v>Schedule_Days</x:v>
      </x:c>
      <x:c r="H1" s="368"/>
      <x:c r="I1" s="368"/>
      <x:c r="J1" s="368"/>
      <x:c r="K1" s="368"/>
      <x:c r="L1" s="368"/>
      <x:c r="M1" s="368"/>
      <x:c r="N1" s="368"/>
      <x:c r="O1" s="368"/>
      <x:c r="P1" s="368"/>
      <x:c r="Q1" s="368"/>
      <x:c r="R1" s="368"/>
      <x:c r="S1" s="368"/>
      <x:c r="T1" s="368"/>
      <x:c r="U1" s="368"/>
      <x:c r="V1" s="368"/>
      <x:c r="W1" s="368"/>
      <x:c r="X1" s="368"/>
      <x:c r="Y1" s="368"/>
      <x:c r="Z1" s="368"/>
    </x:row>
    <x:row r="2">
      <x:c r="A2" t="str">
        <x:v>Coordination Conflict</x:v>
      </x:c>
      <x:c r="B2" t="n">
        <x:v>757</x:v>
      </x:c>
      <x:c r="C2" t="n">
        <x:v>12.32</x:v>
      </x:c>
      <x:c r="D2" t="n">
        <x:v>0.469</x:v>
      </x:c>
      <x:c r="E2" t="n">
        <x:v>0.18899999999999997</x:v>
      </x:c>
      <x:c r="F2" t="n">
        <x:v>8225100</x:v>
      </x:c>
      <x:c r="G2" t="n">
        <x:v>533</x:v>
      </x:c>
    </x:row>
    <x:row r="3">
      <x:c r="A3" t="str">
        <x:v>Design Clarification</x:v>
      </x:c>
      <x:c r="B3" t="n">
        <x:v>872</x:v>
      </x:c>
      <x:c r="C3" t="n">
        <x:v>12.21</x:v>
      </x:c>
      <x:c r="D3" t="n">
        <x:v>0.473</x:v>
      </x:c>
      <x:c r="E3" t="n">
        <x:v>0.133</x:v>
      </x:c>
      <x:c r="F3" t="n">
        <x:v>6777000</x:v>
      </x:c>
      <x:c r="G3" t="n">
        <x:v>449</x:v>
      </x:c>
    </x:row>
    <x:row r="4">
      <x:c r="A4" t="str">
        <x:v>Missing Information</x:v>
      </x:c>
      <x:c r="B4" t="n">
        <x:v>478</x:v>
      </x:c>
      <x:c r="C4" t="n">
        <x:v>12.25</x:v>
      </x:c>
      <x:c r="D4" t="n">
        <x:v>0.429</x:v>
      </x:c>
      <x:c r="E4" t="n">
        <x:v>0.18</x:v>
      </x:c>
      <x:c r="F4" t="n">
        <x:v>4057500</x:v>
      </x:c>
      <x:c r="G4" t="n">
        <x:v>525</x:v>
      </x:c>
    </x:row>
    <x:row r="5">
      <x:c r="A5" t="str">
        <x:v>Constructability</x:v>
      </x:c>
      <x:c r="B5" t="n">
        <x:v>404</x:v>
      </x:c>
      <x:c r="C5" t="n">
        <x:v>11.76</x:v>
      </x:c>
      <x:c r="D5" t="n">
        <x:v>0.45899999999999996</x:v>
      </x:c>
      <x:c r="E5" t="n">
        <x:v>0.163</x:v>
      </x:c>
      <x:c r="F5" t="n">
        <x:v>3651100</x:v>
      </x:c>
      <x:c r="G5" t="n">
        <x:v>269</x:v>
      </x:c>
    </x:row>
    <x:row r="6">
      <x:c r="A6" t="str">
        <x:v>Field Condition</x:v>
      </x:c>
      <x:c r="B6" t="n">
        <x:v>386</x:v>
      </x:c>
      <x:c r="C6" t="n">
        <x:v>12.12</x:v>
      </x:c>
      <x:c r="D6" t="n">
        <x:v>0.44</x:v>
      </x:c>
      <x:c r="E6" t="n">
        <x:v>0.21</x:v>
      </x:c>
      <x:c r="F6" t="n">
        <x:v>3559900</x:v>
      </x:c>
      <x:c r="G6" t="n">
        <x:v>494</x:v>
      </x:c>
    </x:row>
    <x:row r="7">
      <x:c r="A7" t="str">
        <x:v>Substitution Request</x:v>
      </x:c>
      <x:c r="B7" t="n">
        <x:v>259</x:v>
      </x:c>
      <x:c r="C7" t="n">
        <x:v>12.65</x:v>
      </x:c>
      <x:c r="D7" t="n">
        <x:v>0.42200000000000004</x:v>
      </x:c>
      <x:c r="E7" t="n">
        <x:v>0.19699999999999998</x:v>
      </x:c>
      <x:c r="F7" t="n">
        <x:v>2436100</x:v>
      </x:c>
      <x:c r="G7" t="n">
        <x:v>211</x:v>
      </x:c>
    </x:row>
    <x:row r="8">
      <x:c r="A8" t="str">
        <x:v>Code Compliance</x:v>
      </x:c>
      <x:c r="B8" t="n">
        <x:v>162</x:v>
      </x:c>
      <x:c r="C8" t="n">
        <x:v>12.31</x:v>
      </x:c>
      <x:c r="D8" t="n">
        <x:v>0.483</x:v>
      </x:c>
      <x:c r="E8" t="n">
        <x:v>0.16</x:v>
      </x:c>
      <x:c r="F8" t="n">
        <x:v>901800</x:v>
      </x:c>
      <x:c r="G8" t="n">
        <x:v>91</x:v>
      </x:c>
    </x:row>
  </x:sheetData>
  <x:pageMargins left="0.7" right="0.7" top="0.75" bottom="0.75" header="0.3" footer="0.3"/>
  <x:tableParts count="1">
    <x:tablePart xmlns:r="http://schemas.openxmlformats.org/officeDocument/2006/relationships" r:id="Rac8be950a6f24c9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6" t="str">
        <x:v>Change_Category</x:v>
      </x:c>
      <x:c r="B1" s="6" t="str">
        <x:v>Change_Count</x:v>
      </x:c>
      <x:c r="C1" s="6" t="str">
        <x:v>Approved_Count</x:v>
      </x:c>
      <x:c r="D1" s="6" t="str">
        <x:v>Pending_Count</x:v>
      </x:c>
      <x:c r="E1" s="6" t="str">
        <x:v>Approved_Value</x:v>
      </x:c>
      <x:c r="F1" s="6" t="str">
        <x:v>Pending_Exposure</x:v>
      </x:c>
      <x:c r="G1" s="6" t="str">
        <x:v>Avg_Approval_Days</x:v>
      </x:c>
      <x:c r="H1" s="6" t="str">
        <x:v>Approved_Schedule_Days</x:v>
      </x:c>
      <x:c r="I1" s="6" t="str">
        <x:v>Linked_Change_Count</x:v>
      </x:c>
      <x:c r="J1" s="6" t="str">
        <x:v>Avg_Forecast_Lag_Days</x:v>
      </x:c>
      <x:c r="K1" s="368"/>
      <x:c r="L1" s="368"/>
      <x:c r="M1" s="368"/>
      <x:c r="N1" s="368"/>
      <x:c r="O1" s="368"/>
      <x:c r="P1" s="368"/>
      <x:c r="Q1" s="368"/>
      <x:c r="R1" s="368"/>
      <x:c r="S1" s="368"/>
      <x:c r="T1" s="368"/>
      <x:c r="U1" s="368"/>
      <x:c r="V1" s="368"/>
      <x:c r="W1" s="368"/>
      <x:c r="X1" s="368"/>
      <x:c r="Y1" s="368"/>
      <x:c r="Z1" s="368"/>
    </x:row>
    <x:row r="2">
      <x:c r="A2" t="str">
        <x:v>Owner-Directed Change</x:v>
      </x:c>
      <x:c r="B2" t="n">
        <x:v>198</x:v>
      </x:c>
      <x:c r="C2" t="n">
        <x:v>126</x:v>
      </x:c>
      <x:c r="D2" t="n">
        <x:v>41</x:v>
      </x:c>
      <x:c r="E2" t="n">
        <x:v>44093100</x:v>
      </x:c>
      <x:c r="F2" t="n">
        <x:v>22849000</x:v>
      </x:c>
      <x:c r="G2" t="n">
        <x:v>32.33</x:v>
      </x:c>
      <x:c r="H2" t="n">
        <x:v>454</x:v>
      </x:c>
      <x:c r="I2" t="n">
        <x:v>46</x:v>
      </x:c>
      <x:c r="J2" t="n">
        <x:v>7.28</x:v>
      </x:c>
    </x:row>
    <x:row r="3">
      <x:c r="A3" t="str">
        <x:v>Design Error or Omission</x:v>
      </x:c>
      <x:c r="B3" t="n">
        <x:v>197</x:v>
      </x:c>
      <x:c r="C3" t="n">
        <x:v>118</x:v>
      </x:c>
      <x:c r="D3" t="n">
        <x:v>41</x:v>
      </x:c>
      <x:c r="E3" t="n">
        <x:v>40302400</x:v>
      </x:c>
      <x:c r="F3" t="n">
        <x:v>14907000</x:v>
      </x:c>
      <x:c r="G3" t="n">
        <x:v>32.92</x:v>
      </x:c>
      <x:c r="H3" t="n">
        <x:v>216</x:v>
      </x:c>
      <x:c r="I3" t="n">
        <x:v>135</x:v>
      </x:c>
      <x:c r="J3" t="n">
        <x:v>6.32</x:v>
      </x:c>
    </x:row>
    <x:row r="4">
      <x:c r="A4" t="str">
        <x:v>Unforeseen Condition</x:v>
      </x:c>
      <x:c r="B4" t="n">
        <x:v>168</x:v>
      </x:c>
      <x:c r="C4" t="n">
        <x:v>108</x:v>
      </x:c>
      <x:c r="D4" t="n">
        <x:v>29</x:v>
      </x:c>
      <x:c r="E4" t="n">
        <x:v>39882000</x:v>
      </x:c>
      <x:c r="F4" t="n">
        <x:v>17020000</x:v>
      </x:c>
      <x:c r="G4" t="n">
        <x:v>28.41</x:v>
      </x:c>
      <x:c r="H4" t="n">
        <x:v>275</x:v>
      </x:c>
      <x:c r="I4" t="n">
        <x:v>114</x:v>
      </x:c>
      <x:c r="J4" t="n">
        <x:v>6.9</x:v>
      </x:c>
    </x:row>
    <x:row r="5">
      <x:c r="A5" t="str">
        <x:v>Code or Regulatory Requirement</x:v>
      </x:c>
      <x:c r="B5" t="n">
        <x:v>78</x:v>
      </x:c>
      <x:c r="C5" t="n">
        <x:v>54</x:v>
      </x:c>
      <x:c r="D5" t="n">
        <x:v>10</x:v>
      </x:c>
      <x:c r="E5" t="n">
        <x:v>16442100</x:v>
      </x:c>
      <x:c r="F5" t="n">
        <x:v>6094000</x:v>
      </x:c>
      <x:c r="G5" t="n">
        <x:v>31.96</x:v>
      </x:c>
      <x:c r="H5" t="n">
        <x:v>66</x:v>
      </x:c>
      <x:c r="I5" t="n">
        <x:v>37</x:v>
      </x:c>
      <x:c r="J5" t="n">
        <x:v>6.32</x:v>
      </x:c>
    </x:row>
    <x:row r="6">
      <x:c r="A6" t="str">
        <x:v>Substitution</x:v>
      </x:c>
      <x:c r="B6" t="n">
        <x:v>94</x:v>
      </x:c>
      <x:c r="C6" t="n">
        <x:v>60</x:v>
      </x:c>
      <x:c r="D6" t="n">
        <x:v>22</x:v>
      </x:c>
      <x:c r="E6" t="n">
        <x:v>14284000</x:v>
      </x:c>
      <x:c r="F6" t="n">
        <x:v>6963000</x:v>
      </x:c>
      <x:c r="G6" t="n">
        <x:v>25.77</x:v>
      </x:c>
      <x:c r="H6" t="n">
        <x:v>81</x:v>
      </x:c>
      <x:c r="I6" t="n">
        <x:v>51</x:v>
      </x:c>
      <x:c r="J6" t="n">
        <x:v>6.47</x:v>
      </x:c>
    </x:row>
    <x:row r="7">
      <x:c r="A7" t="str">
        <x:v>Value Engineering</x:v>
      </x:c>
      <x:c r="B7" t="n">
        <x:v>93</x:v>
      </x:c>
      <x:c r="C7" t="n">
        <x:v>62</x:v>
      </x:c>
      <x:c r="D7" t="n">
        <x:v>19</x:v>
      </x:c>
      <x:c r="E7" t="n">
        <x:v>13922100</x:v>
      </x:c>
      <x:c r="F7" t="n">
        <x:v>5604000</x:v>
      </x:c>
      <x:c r="G7" t="n">
        <x:v>24.6</x:v>
      </x:c>
      <x:c r="H7" t="n">
        <x:v>149</x:v>
      </x:c>
      <x:c r="I7" t="n">
        <x:v>37</x:v>
      </x:c>
      <x:c r="J7" t="n">
        <x:v>5.55</x:v>
      </x:c>
    </x:row>
    <x:row r="8">
      <x:c r="A8" t="str">
        <x:v>Schedule Acceleration</x:v>
      </x:c>
      <x:c r="B8" t="n">
        <x:v>78</x:v>
      </x:c>
      <x:c r="C8" t="n">
        <x:v>49</x:v>
      </x:c>
      <x:c r="D8" t="n">
        <x:v>15</x:v>
      </x:c>
      <x:c r="E8" t="n">
        <x:v>13904000</x:v>
      </x:c>
      <x:c r="F8" t="n">
        <x:v>2254000</x:v>
      </x:c>
      <x:c r="G8" t="n">
        <x:v>30.04</x:v>
      </x:c>
      <x:c r="H8" t="n">
        <x:v>119</x:v>
      </x:c>
      <x:c r="I8" t="n">
        <x:v>41</x:v>
      </x:c>
      <x:c r="J8" t="n">
        <x:v>5.72</x:v>
      </x:c>
    </x:row>
    <x:row r="9">
      <x:c r="A9" t="str">
        <x:v>Quantity Variation</x:v>
      </x:c>
      <x:c r="B9" t="n">
        <x:v>106</x:v>
      </x:c>
      <x:c r="C9" t="n">
        <x:v>65</x:v>
      </x:c>
      <x:c r="D9" t="n">
        <x:v>19</x:v>
      </x:c>
      <x:c r="E9" t="n">
        <x:v>11806400</x:v>
      </x:c>
      <x:c r="F9" t="n">
        <x:v>6831000</x:v>
      </x:c>
      <x:c r="G9" t="n">
        <x:v>23.74</x:v>
      </x:c>
      <x:c r="H9" t="n">
        <x:v>119</x:v>
      </x:c>
      <x:c r="I9" t="n">
        <x:v>55</x:v>
      </x:c>
      <x:c r="J9" t="n">
        <x:v>7.9</x:v>
      </x:c>
    </x:row>
    <x:row r="10">
      <x:c r="A10" t="str">
        <x:v>Scope Clarification</x:v>
      </x:c>
      <x:c r="B10" t="n">
        <x:v>107</x:v>
      </x:c>
      <x:c r="C10" t="n">
        <x:v>64</x:v>
      </x:c>
      <x:c r="D10" t="n">
        <x:v>25</x:v>
      </x:c>
      <x:c r="E10" t="n">
        <x:v>9932200</x:v>
      </x:c>
      <x:c r="F10" t="n">
        <x:v>5582000</x:v>
      </x:c>
      <x:c r="G10" t="n">
        <x:v>24.53</x:v>
      </x:c>
      <x:c r="H10" t="n">
        <x:v>59</x:v>
      </x:c>
      <x:c r="I10" t="n">
        <x:v>61</x:v>
      </x:c>
      <x:c r="J10" t="n">
        <x:v>5.9</x:v>
      </x:c>
    </x:row>
  </x:sheetData>
  <x:pageMargins left="0.7" right="0.7" top="0.75" bottom="0.75" header="0.3" footer="0.3"/>
  <x:tableParts count="1">
    <x:tablePart xmlns:r="http://schemas.openxmlformats.org/officeDocument/2006/relationships" r:id="Rfff0af6fe2904c3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6" t="str">
        <x:v>Item_Type</x:v>
      </x:c>
      <x:c r="B1" s="6" t="str">
        <x:v>To_Status</x:v>
      </x:c>
      <x:c r="C1" s="6" t="str">
        <x:v>Assigned_To_Role</x:v>
      </x:c>
      <x:c r="D1" s="6" t="str">
        <x:v>Event_Count</x:v>
      </x:c>
      <x:c r="E1" s="6" t="str">
        <x:v>Avg_Stage_Days</x:v>
      </x:c>
      <x:c r="F1" s="6" t="str">
        <x:v>Total_Stage_Days</x:v>
      </x:c>
      <x:c r="G1" s="6" t="str">
        <x:v>Handoff_Count</x:v>
      </x:c>
      <x:c r="H1" s="6" t="str">
        <x:v>Revision_Loop_Count</x:v>
      </x:c>
      <x:c r="I1" s="368"/>
      <x:c r="J1" s="368"/>
      <x:c r="K1" s="368"/>
      <x:c r="L1" s="368"/>
      <x:c r="M1" s="368"/>
      <x:c r="N1" s="368"/>
      <x:c r="O1" s="368"/>
      <x:c r="P1" s="368"/>
      <x:c r="Q1" s="368"/>
      <x:c r="R1" s="368"/>
      <x:c r="S1" s="368"/>
      <x:c r="T1" s="368"/>
      <x:c r="U1" s="368"/>
      <x:c r="V1" s="368"/>
      <x:c r="W1" s="368"/>
      <x:c r="X1" s="368"/>
      <x:c r="Y1" s="368"/>
      <x:c r="Z1" s="368"/>
    </x:row>
    <x:row r="2">
      <x:c r="A2" t="str">
        <x:v>Change Order</x:v>
      </x:c>
      <x:c r="B2" t="str">
        <x:v>Approved</x:v>
      </x:c>
      <x:c r="C2" t="str">
        <x:v>Project Manager</x:v>
      </x:c>
      <x:c r="D2" t="n">
        <x:v>706</x:v>
      </x:c>
      <x:c r="E2" t="n">
        <x:v>20.31</x:v>
      </x:c>
      <x:c r="F2" t="n">
        <x:v>14335.35</x:v>
      </x:c>
      <x:c r="G2" t="n">
        <x:v>706</x:v>
      </x:c>
      <x:c r="H2" t="n">
        <x:v>0</x:v>
      </x:c>
    </x:row>
    <x:row r="3">
      <x:c r="A3" t="str">
        <x:v>RFI</x:v>
      </x:c>
      <x:c r="B3" t="str">
        <x:v>Closed</x:v>
      </x:c>
      <x:c r="C3" t="str">
        <x:v>Subcontractor</x:v>
      </x:c>
      <x:c r="D3" t="n">
        <x:v>948</x:v>
      </x:c>
      <x:c r="E3" t="n">
        <x:v>9.93</x:v>
      </x:c>
      <x:c r="F3" t="n">
        <x:v>9411.6</x:v>
      </x:c>
      <x:c r="G3" t="n">
        <x:v>756</x:v>
      </x:c>
      <x:c r="H3" t="n">
        <x:v>0</x:v>
      </x:c>
    </x:row>
    <x:row r="4">
      <x:c r="A4" t="str">
        <x:v>RFI</x:v>
      </x:c>
      <x:c r="B4" t="str">
        <x:v>Closed</x:v>
      </x:c>
      <x:c r="C4" t="str">
        <x:v>General Contractor</x:v>
      </x:c>
      <x:c r="D4" t="n">
        <x:v>925</x:v>
      </x:c>
      <x:c r="E4" t="n">
        <x:v>9.57</x:v>
      </x:c>
      <x:c r="F4" t="n">
        <x:v>8854.16</x:v>
      </x:c>
      <x:c r="G4" t="n">
        <x:v>696</x:v>
      </x:c>
      <x:c r="H4" t="n">
        <x:v>0</x:v>
      </x:c>
    </x:row>
    <x:row r="5">
      <x:c r="A5" t="str">
        <x:v>Change Order</x:v>
      </x:c>
      <x:c r="B5" t="str">
        <x:v>Returned for Revision</x:v>
      </x:c>
      <x:c r="C5" t="str">
        <x:v>Cost Manager</x:v>
      </x:c>
      <x:c r="D5" t="n">
        <x:v>512</x:v>
      </x:c>
      <x:c r="E5" t="n">
        <x:v>16.7</x:v>
      </x:c>
      <x:c r="F5" t="n">
        <x:v>8552.62</x:v>
      </x:c>
      <x:c r="G5" t="n">
        <x:v>511</x:v>
      </x:c>
      <x:c r="H5" t="n">
        <x:v>512</x:v>
      </x:c>
    </x:row>
    <x:row r="6">
      <x:c r="A6" t="str">
        <x:v>Change Order</x:v>
      </x:c>
      <x:c r="B6" t="str">
        <x:v>Submitted</x:v>
      </x:c>
      <x:c r="C6" t="str">
        <x:v>Owner Representative</x:v>
      </x:c>
      <x:c r="D6" t="n">
        <x:v>1117</x:v>
      </x:c>
      <x:c r="E6" t="n">
        <x:v>7.03</x:v>
      </x:c>
      <x:c r="F6" t="n">
        <x:v>7850.68</x:v>
      </x:c>
      <x:c r="G6" t="n">
        <x:v>1117</x:v>
      </x:c>
      <x:c r="H6" t="n">
        <x:v>0</x:v>
      </x:c>
    </x:row>
    <x:row r="7">
      <x:c r="A7" t="str">
        <x:v>RFI</x:v>
      </x:c>
      <x:c r="B7" t="str">
        <x:v>Returned for Clarification</x:v>
      </x:c>
      <x:c r="C7" t="str">
        <x:v>General Contractor</x:v>
      </x:c>
      <x:c r="D7" t="n">
        <x:v>344</x:v>
      </x:c>
      <x:c r="E7" t="n">
        <x:v>11.95</x:v>
      </x:c>
      <x:c r="F7" t="n">
        <x:v>4109.42</x:v>
      </x:c>
      <x:c r="G7" t="n">
        <x:v>344</x:v>
      </x:c>
      <x:c r="H7" t="n">
        <x:v>344</x:v>
      </x:c>
    </x:row>
    <x:row r="8">
      <x:c r="A8" t="str">
        <x:v>RFI</x:v>
      </x:c>
      <x:c r="B8" t="str">
        <x:v>Returned for Clarification</x:v>
      </x:c>
      <x:c r="C8" t="str">
        <x:v>Subcontractor</x:v>
      </x:c>
      <x:c r="D8" t="n">
        <x:v>308</x:v>
      </x:c>
      <x:c r="E8" t="n">
        <x:v>10.86</x:v>
      </x:c>
      <x:c r="F8" t="n">
        <x:v>3345.12</x:v>
      </x:c>
      <x:c r="G8" t="n">
        <x:v>308</x:v>
      </x:c>
      <x:c r="H8" t="n">
        <x:v>308</x:v>
      </x:c>
    </x:row>
    <x:row r="9">
      <x:c r="A9" t="str">
        <x:v>RFI</x:v>
      </x:c>
      <x:c r="B9" t="str">
        <x:v>Answered</x:v>
      </x:c>
      <x:c r="C9" t="str">
        <x:v>General Contractor</x:v>
      </x:c>
      <x:c r="D9" t="n">
        <x:v>350</x:v>
      </x:c>
      <x:c r="E9" t="n">
        <x:v>9.48</x:v>
      </x:c>
      <x:c r="F9" t="n">
        <x:v>3319.07</x:v>
      </x:c>
      <x:c r="G9" t="n">
        <x:v>267</x:v>
      </x:c>
      <x:c r="H9" t="n">
        <x:v>0</x:v>
      </x:c>
    </x:row>
    <x:row r="10">
      <x:c r="A10" t="str">
        <x:v>Change Order</x:v>
      </x:c>
      <x:c r="B10" t="str">
        <x:v>Rejected</x:v>
      </x:c>
      <x:c r="C10" t="str">
        <x:v>Project Manager</x:v>
      </x:c>
      <x:c r="D10" t="n">
        <x:v>113</x:v>
      </x:c>
      <x:c r="E10" t="n">
        <x:v>28.89</x:v>
      </x:c>
      <x:c r="F10" t="n">
        <x:v>3264.7</x:v>
      </x:c>
      <x:c r="G10" t="n">
        <x:v>113</x:v>
      </x:c>
      <x:c r="H10" t="n">
        <x:v>0</x:v>
      </x:c>
    </x:row>
    <x:row r="11">
      <x:c r="A11" t="str">
        <x:v>RFI</x:v>
      </x:c>
      <x:c r="B11" t="str">
        <x:v>Answered</x:v>
      </x:c>
      <x:c r="C11" t="str">
        <x:v>Subcontractor</x:v>
      </x:c>
      <x:c r="D11" t="n">
        <x:v>337</x:v>
      </x:c>
      <x:c r="E11" t="n">
        <x:v>9.64</x:v>
      </x:c>
      <x:c r="F11" t="n">
        <x:v>3247.93</x:v>
      </x:c>
      <x:c r="G11" t="n">
        <x:v>257</x:v>
      </x:c>
      <x:c r="H11" t="n">
        <x:v>0</x:v>
      </x:c>
    </x:row>
    <x:row r="12">
      <x:c r="A12" t="str">
        <x:v>RFI</x:v>
      </x:c>
      <x:c r="B12" t="str">
        <x:v>Closed</x:v>
      </x:c>
      <x:c r="C12" t="str">
        <x:v>Construction Manager</x:v>
      </x:c>
      <x:c r="D12" t="n">
        <x:v>332</x:v>
      </x:c>
      <x:c r="E12" t="n">
        <x:v>9.75</x:v>
      </x:c>
      <x:c r="F12" t="n">
        <x:v>3235.64</x:v>
      </x:c>
      <x:c r="G12" t="n">
        <x:v>229</x:v>
      </x:c>
      <x:c r="H12" t="n">
        <x:v>0</x:v>
      </x:c>
    </x:row>
    <x:row r="13">
      <x:c r="A13" t="str">
        <x:v>Change Order</x:v>
      </x:c>
      <x:c r="B13" t="str">
        <x:v>Pending</x:v>
      </x:c>
      <x:c r="C13" t="str">
        <x:v>Project Manager</x:v>
      </x:c>
      <x:c r="D13" t="n">
        <x:v>220</x:v>
      </x:c>
      <x:c r="E13" t="n">
        <x:v>14.03</x:v>
      </x:c>
      <x:c r="F13" t="n">
        <x:v>3086.36</x:v>
      </x:c>
      <x:c r="G13" t="n">
        <x:v>220</x:v>
      </x:c>
      <x:c r="H13" t="n">
        <x:v>0</x:v>
      </x:c>
    </x:row>
    <x:row r="14">
      <x:c r="A14" t="str">
        <x:v>Change Order</x:v>
      </x:c>
      <x:c r="B14" t="str">
        <x:v>Withdrawn</x:v>
      </x:c>
      <x:c r="C14" t="str">
        <x:v>Project Manager</x:v>
      </x:c>
      <x:c r="D14" t="n">
        <x:v>79</x:v>
      </x:c>
      <x:c r="E14" t="n">
        <x:v>22.33</x:v>
      </x:c>
      <x:c r="F14" t="n">
        <x:v>1763.96</x:v>
      </x:c>
      <x:c r="G14" t="n">
        <x:v>79</x:v>
      </x:c>
      <x:c r="H14" t="n">
        <x:v>0</x:v>
      </x:c>
    </x:row>
    <x:row r="15">
      <x:c r="A15" t="str">
        <x:v>RFI</x:v>
      </x:c>
      <x:c r="B15" t="str">
        <x:v>Returned for Clarification</x:v>
      </x:c>
      <x:c r="C15" t="str">
        <x:v>Construction Manager</x:v>
      </x:c>
      <x:c r="D15" t="n">
        <x:v>134</x:v>
      </x:c>
      <x:c r="E15" t="n">
        <x:v>11.01</x:v>
      </x:c>
      <x:c r="F15" t="n">
        <x:v>1475.78</x:v>
      </x:c>
      <x:c r="G15" t="n">
        <x:v>119</x:v>
      </x:c>
      <x:c r="H15" t="n">
        <x:v>134</x:v>
      </x:c>
    </x:row>
    <x:row r="16">
      <x:c r="A16" t="str">
        <x:v>RFI</x:v>
      </x:c>
      <x:c r="B16" t="str">
        <x:v>Answered</x:v>
      </x:c>
      <x:c r="C16" t="str">
        <x:v>Construction Manager</x:v>
      </x:c>
      <x:c r="D16" t="n">
        <x:v>127</x:v>
      </x:c>
      <x:c r="E16" t="n">
        <x:v>9.64</x:v>
      </x:c>
      <x:c r="F16" t="n">
        <x:v>1224.9</x:v>
      </x:c>
      <x:c r="G16" t="n">
        <x:v>81</x:v>
      </x:c>
      <x:c r="H16" t="n">
        <x:v>0</x:v>
      </x:c>
    </x:row>
    <x:row r="17">
      <x:c r="A17" t="str">
        <x:v>RFI</x:v>
      </x:c>
      <x:c r="B17" t="str">
        <x:v>In Review</x:v>
      </x:c>
      <x:c r="C17" t="str">
        <x:v>Engineer</x:v>
      </x:c>
      <x:c r="D17" t="n">
        <x:v>54</x:v>
      </x:c>
      <x:c r="E17" t="n">
        <x:v>7.41</x:v>
      </x:c>
      <x:c r="F17" t="n">
        <x:v>400.18</x:v>
      </x:c>
      <x:c r="G17" t="n">
        <x:v>4</x:v>
      </x:c>
      <x:c r="H17" t="n">
        <x:v>0</x:v>
      </x:c>
    </x:row>
    <x:row r="18">
      <x:c r="A18" t="str">
        <x:v>RFI</x:v>
      </x:c>
      <x:c r="B18" t="str">
        <x:v>Awaiting Designer</x:v>
      </x:c>
      <x:c r="C18" t="str">
        <x:v>Engineer</x:v>
      </x:c>
      <x:c r="D18" t="n">
        <x:v>39</x:v>
      </x:c>
      <x:c r="E18" t="n">
        <x:v>7.69</x:v>
      </x:c>
      <x:c r="F18" t="n">
        <x:v>299.81</x:v>
      </x:c>
      <x:c r="G18" t="n">
        <x:v>6</x:v>
      </x:c>
      <x:c r="H18" t="n">
        <x:v>0</x:v>
      </x:c>
    </x:row>
    <x:row r="19">
      <x:c r="A19" t="str">
        <x:v>RFI</x:v>
      </x:c>
      <x:c r="B19" t="str">
        <x:v>Open</x:v>
      </x:c>
      <x:c r="C19" t="str">
        <x:v>Engineer</x:v>
      </x:c>
      <x:c r="D19" t="n">
        <x:v>30</x:v>
      </x:c>
      <x:c r="E19" t="n">
        <x:v>7.41</x:v>
      </x:c>
      <x:c r="F19" t="n">
        <x:v>222.43</x:v>
      </x:c>
      <x:c r="G19" t="n">
        <x:v>7</x:v>
      </x:c>
      <x:c r="H19" t="n">
        <x:v>0</x:v>
      </x:c>
    </x:row>
    <x:row r="20">
      <x:c r="A20" t="str">
        <x:v>RFI</x:v>
      </x:c>
      <x:c r="B20" t="str">
        <x:v>Returned for Clarification</x:v>
      </x:c>
      <x:c r="C20" t="str">
        <x:v>Engineer</x:v>
      </x:c>
      <x:c r="D20" t="n">
        <x:v>24</x:v>
      </x:c>
      <x:c r="E20" t="n">
        <x:v>8.06</x:v>
      </x:c>
      <x:c r="F20" t="n">
        <x:v>193.49</x:v>
      </x:c>
      <x:c r="G20" t="n">
        <x:v>3</x:v>
      </x:c>
      <x:c r="H20" t="n">
        <x:v>24</x:v>
      </x:c>
    </x:row>
    <x:row r="21">
      <x:c r="A21" t="str">
        <x:v>RFI</x:v>
      </x:c>
      <x:c r="B21" t="str">
        <x:v>Awaiting Owner</x:v>
      </x:c>
      <x:c r="C21" t="str">
        <x:v>Engineer</x:v>
      </x:c>
      <x:c r="D21" t="n">
        <x:v>28</x:v>
      </x:c>
      <x:c r="E21" t="n">
        <x:v>5.93</x:v>
      </x:c>
      <x:c r="F21" t="n">
        <x:v>166.17</x:v>
      </x:c>
      <x:c r="G21" t="n">
        <x:v>7</x:v>
      </x:c>
      <x:c r="H21" t="n">
        <x:v>0</x:v>
      </x:c>
    </x:row>
    <x:row r="22">
      <x:c r="A22" t="str">
        <x:v>RFI</x:v>
      </x:c>
      <x:c r="B22" t="str">
        <x:v>Awaiting Owner</x:v>
      </x:c>
      <x:c r="C22" t="str">
        <x:v>Architect</x:v>
      </x:c>
      <x:c r="D22" t="n">
        <x:v>13</x:v>
      </x:c>
      <x:c r="E22" t="n">
        <x:v>8.79</x:v>
      </x:c>
      <x:c r="F22" t="n">
        <x:v>114.27</x:v>
      </x:c>
      <x:c r="G22" t="n">
        <x:v>2</x:v>
      </x:c>
      <x:c r="H22" t="n">
        <x:v>0</x:v>
      </x:c>
    </x:row>
    <x:row r="23">
      <x:c r="A23" t="str">
        <x:v>RFI</x:v>
      </x:c>
      <x:c r="B23" t="str">
        <x:v>In Review</x:v>
      </x:c>
      <x:c r="C23" t="str">
        <x:v>Architect</x:v>
      </x:c>
      <x:c r="D23" t="n">
        <x:v>16</x:v>
      </x:c>
      <x:c r="E23" t="n">
        <x:v>7.1</x:v>
      </x:c>
      <x:c r="F23" t="n">
        <x:v>113.66</x:v>
      </x:c>
      <x:c r="G23" t="n">
        <x:v>2</x:v>
      </x:c>
      <x:c r="H23" t="n">
        <x:v>0</x:v>
      </x:c>
    </x:row>
    <x:row r="24">
      <x:c r="A24" t="str">
        <x:v>RFI</x:v>
      </x:c>
      <x:c r="B24" t="str">
        <x:v>Awaiting Designer</x:v>
      </x:c>
      <x:c r="C24" t="str">
        <x:v>Owner Representative</x:v>
      </x:c>
      <x:c r="D24" t="n">
        <x:v>11</x:v>
      </x:c>
      <x:c r="E24" t="n">
        <x:v>6.64</x:v>
      </x:c>
      <x:c r="F24" t="n">
        <x:v>73.01</x:v>
      </x:c>
      <x:c r="G24" t="n">
        <x:v>2</x:v>
      </x:c>
      <x:c r="H2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d2e0656105445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6" t="str">
        <x:v>Segment_Type</x:v>
      </x:c>
      <x:c r="B1" s="6" t="str">
        <x:v>Segment</x:v>
      </x:c>
      <x:c r="C1" s="6" t="str">
        <x:v>RFI_Count</x:v>
      </x:c>
      <x:c r="D1" s="6" t="str">
        <x:v>Avg_RFI_Response_Days</x:v>
      </x:c>
      <x:c r="E1" s="6" t="str">
        <x:v>On_Time_Rate</x:v>
      </x:c>
      <x:c r="F1" s="6" t="str">
        <x:v>Change_Count</x:v>
      </x:c>
      <x:c r="G1" s="6" t="str">
        <x:v>Avg_Approval_Cycle_Days</x:v>
      </x:c>
      <x:c r="H1" s="6" t="str">
        <x:v>Pending_Exposure</x:v>
      </x:c>
      <x:c r="I1" s="368"/>
      <x:c r="J1" s="368"/>
      <x:c r="K1" s="368"/>
      <x:c r="L1" s="368"/>
      <x:c r="M1" s="368"/>
      <x:c r="N1" s="368"/>
      <x:c r="O1" s="368"/>
      <x:c r="P1" s="368"/>
      <x:c r="Q1" s="368"/>
      <x:c r="R1" s="368"/>
      <x:c r="S1" s="368"/>
      <x:c r="T1" s="368"/>
      <x:c r="U1" s="368"/>
      <x:c r="V1" s="368"/>
      <x:c r="W1" s="368"/>
      <x:c r="X1" s="368"/>
      <x:c r="Y1" s="368"/>
      <x:c r="Z1" s="368"/>
    </x:row>
    <x:row r="2">
      <x:c r="A2" t="str">
        <x:v>Owner Decision Profile</x:v>
      </x:c>
      <x:c r="B2" t="str">
        <x:v>Fast</x:v>
      </x:c>
      <x:c r="C2" t="n">
        <x:v>597</x:v>
      </x:c>
      <x:c r="D2" t="n">
        <x:v>10.4</x:v>
      </x:c>
      <x:c r="E2" t="n">
        <x:v>0.528</x:v>
      </x:c>
      <x:c r="F2" t="n">
        <x:v>197</x:v>
      </x:c>
      <x:c r="G2" t="n">
        <x:v>24.36</x:v>
      </x:c>
      <x:c r="H2" t="n">
        <x:v>12516000</x:v>
      </x:c>
    </x:row>
    <x:row r="3">
      <x:c r="A3" t="str">
        <x:v>Owner Decision Profile</x:v>
      </x:c>
      <x:c r="B3" t="str">
        <x:v>Standard</x:v>
      </x:c>
      <x:c r="C3" t="n">
        <x:v>1905</x:v>
      </x:c>
      <x:c r="D3" t="n">
        <x:v>11.01</x:v>
      </x:c>
      <x:c r="E3" t="n">
        <x:v>0.515</x:v>
      </x:c>
      <x:c r="F3" t="n">
        <x:v>623</x:v>
      </x:c>
      <x:c r="G3" t="n">
        <x:v>26.01</x:v>
      </x:c>
      <x:c r="H3" t="n">
        <x:v>52494000</x:v>
      </x:c>
    </x:row>
    <x:row r="4">
      <x:c r="A4" t="str">
        <x:v>Owner Decision Profile</x:v>
      </x:c>
      <x:c r="B4" t="str">
        <x:v>Slow</x:v>
      </x:c>
      <x:c r="C4" t="n">
        <x:v>816</x:v>
      </x:c>
      <x:c r="D4" t="n">
        <x:v>16.45</x:v>
      </x:c>
      <x:c r="E4" t="n">
        <x:v>0.263</x:v>
      </x:c>
      <x:c r="F4" t="n">
        <x:v>299</x:v>
      </x:c>
      <x:c r="G4" t="n">
        <x:v>37.98</x:v>
      </x:c>
      <x:c r="H4" t="n">
        <x:v>23094000</x:v>
      </x:c>
    </x:row>
    <x:row r="5">
      <x:c r="A5" t="str">
        <x:v>Digital Coordination Level</x:v>
      </x:c>
      <x:c r="B5" t="str">
        <x:v>High</x:v>
      </x:c>
      <x:c r="C5" t="n">
        <x:v>881</x:v>
      </x:c>
      <x:c r="D5" t="n">
        <x:v>9.55</x:v>
      </x:c>
      <x:c r="E5" t="n">
        <x:v>0.62</x:v>
      </x:c>
      <x:c r="F5" t="n">
        <x:v>304</x:v>
      </x:c>
      <x:c r="G5" t="n">
        <x:v>26.39</x:v>
      </x:c>
      <x:c r="H5" t="n">
        <x:v>25448200</x:v>
      </x:c>
    </x:row>
    <x:row r="6">
      <x:c r="A6" t="str">
        <x:v>Digital Coordination Level</x:v>
      </x:c>
      <x:c r="B6" t="str">
        <x:v>Moderate</x:v>
      </x:c>
      <x:c r="C6" t="n">
        <x:v>1675</x:v>
      </x:c>
      <x:c r="D6" t="n">
        <x:v>12.63</x:v>
      </x:c>
      <x:c r="E6" t="n">
        <x:v>0.425</x:v>
      </x:c>
      <x:c r="F6" t="n">
        <x:v>567</x:v>
      </x:c>
      <x:c r="G6" t="n">
        <x:v>30.02</x:v>
      </x:c>
      <x:c r="H6" t="n">
        <x:v>48307800</x:v>
      </x:c>
    </x:row>
    <x:row r="7">
      <x:c r="A7" t="str">
        <x:v>Digital Coordination Level</x:v>
      </x:c>
      <x:c r="B7" t="str">
        <x:v>Low</x:v>
      </x:c>
      <x:c r="C7" t="n">
        <x:v>762</x:v>
      </x:c>
      <x:c r="D7" t="n">
        <x:v>14.39</x:v>
      </x:c>
      <x:c r="E7" t="n">
        <x:v>0.336</x:v>
      </x:c>
      <x:c r="F7" t="n">
        <x:v>248</x:v>
      </x:c>
      <x:c r="G7" t="n">
        <x:v>29.29</x:v>
      </x:c>
      <x:c r="H7" t="n">
        <x:v>14348000</x:v>
      </x:c>
    </x:row>
  </x:sheetData>
  <x:pageMargins left="0.7" right="0.7" top="0.75" bottom="0.75" header="0.3" footer="0.3"/>
  <x:tableParts count="1">
    <x:tablePart xmlns:r="http://schemas.openxmlformats.org/officeDocument/2006/relationships" r:id="Ree58f50a47f2495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17" hidden="0" customWidth="1"/>
    <x:col min="8" max="8" width="15" hidden="0" customWidth="1"/>
    <x:col min="9" max="9" width="13" hidden="0" customWidth="1"/>
    <x:col min="10" max="10" width="24" hidden="0" customWidth="1"/>
    <x:col min="11" max="11" width="17" hidden="0" customWidth="1"/>
    <x:col min="12" max="12" width="17" hidden="0" customWidth="1"/>
    <x:col min="13" max="13" width="4" hidden="0" customWidth="1"/>
    <x:col min="14" max="14" width="4" hidden="0" customWidth="1"/>
  </x:cols>
  <x:sheetData>
    <x:row r="1" ht="34" customHeight="1">
      <x:c r="A1" s="15" t="str">
        <x:v>Construction Change Order and RFI Analytics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>
      <x:c r="A2" s="23" t="str">
        <x:v>Executive portfolio view | Decision speed, commercial exposure, workflow health, and management priorities. All records are synthetic.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</x:row>
    <x:row r="5">
      <x:c r="A5" s="56" t="n">
        <x:f>Data_KPIs!B2</x:f>
        <x:v>90</x:v>
      </x:c>
      <x:c r="B5" s="57"/>
      <x:c r="C5" s="58"/>
      <x:c r="D5" s="128" t="n">
        <x:f>Data_KPIs!B3</x:f>
        <x:v>3318</x:v>
      </x:c>
      <x:c r="E5" s="129"/>
      <x:c r="F5" s="130"/>
      <x:c r="G5" s="182" t="n">
        <x:f>Data_KPIs!B4</x:f>
        <x:v>12.21</x:v>
      </x:c>
      <x:c r="H5" s="183"/>
      <x:c r="I5" s="184"/>
      <x:c r="J5" s="236" t="n">
        <x:f>Data_KPIs!B6/100</x:f>
        <x:v>0.4568</x:v>
      </x:c>
      <x:c r="K5" s="237"/>
      <x:c r="L5" s="238"/>
    </x:row>
    <x:row r="6">
      <x:c r="A6" s="59"/>
      <x:c r="B6" s="60"/>
      <x:c r="C6" s="61"/>
      <x:c r="D6" s="131"/>
      <x:c r="E6" s="132"/>
      <x:c r="F6" s="133"/>
      <x:c r="G6" s="185"/>
      <x:c r="H6" s="186"/>
      <x:c r="I6" s="187"/>
      <x:c r="J6" s="239"/>
      <x:c r="K6" s="240"/>
      <x:c r="L6" s="241"/>
    </x:row>
    <x:row r="7">
      <x:c r="A7" s="59"/>
      <x:c r="B7" s="60"/>
      <x:c r="C7" s="61"/>
      <x:c r="D7" s="131"/>
      <x:c r="E7" s="132"/>
      <x:c r="F7" s="133"/>
      <x:c r="G7" s="185"/>
      <x:c r="H7" s="186"/>
      <x:c r="I7" s="187"/>
      <x:c r="J7" s="239"/>
      <x:c r="K7" s="240"/>
      <x:c r="L7" s="241"/>
    </x:row>
    <x:row r="8">
      <x:c r="A8" s="62"/>
      <x:c r="B8" s="63"/>
      <x:c r="C8" s="64"/>
      <x:c r="D8" s="134"/>
      <x:c r="E8" s="135"/>
      <x:c r="F8" s="136"/>
      <x:c r="G8" s="188"/>
      <x:c r="H8" s="189"/>
      <x:c r="I8" s="190"/>
      <x:c r="J8" s="242"/>
      <x:c r="K8" s="243"/>
      <x:c r="L8" s="244"/>
    </x:row>
    <x:row r="9">
      <x:c r="A9" s="105" t="str">
        <x:v>Projects</x:v>
      </x:c>
      <x:c r="B9" s="105"/>
      <x:c r="C9" s="105"/>
      <x:c r="D9" s="105" t="str">
        <x:v>RFIs</x:v>
      </x:c>
      <x:c r="E9" s="105"/>
      <x:c r="F9" s="105"/>
      <x:c r="G9" s="105" t="str">
        <x:v>Avg RFI Response</x:v>
      </x:c>
      <x:c r="H9" s="105"/>
      <x:c r="I9" s="105"/>
      <x:c r="J9" s="105" t="str">
        <x:v>RFI On-Time</x:v>
      </x:c>
      <x:c r="K9" s="105"/>
      <x:c r="L9" s="105"/>
    </x:row>
    <x:row r="11">
      <x:c r="A11" s="290" t="n">
        <x:f>Data_KPIs!B14</x:f>
        <x:v>204568300</x:v>
      </x:c>
      <x:c r="B11" s="291"/>
      <x:c r="C11" s="292"/>
      <x:c r="D11" s="290" t="n">
        <x:f>Data_KPIs!B15</x:f>
        <x:v>88104000</x:v>
      </x:c>
      <x:c r="E11" s="291"/>
      <x:c r="F11" s="292"/>
      <x:c r="G11" s="182" t="n">
        <x:f>Data_KPIs!B16</x:f>
        <x:v>28.91</x:v>
      </x:c>
      <x:c r="H11" s="183"/>
      <x:c r="I11" s="184"/>
      <x:c r="J11" s="236" t="n">
        <x:f>Data_KPIs!B9/100</x:f>
        <x:v>0.17149999999999999</x:v>
      </x:c>
      <x:c r="K11" s="237"/>
      <x:c r="L11" s="238"/>
    </x:row>
    <x:row r="12">
      <x:c r="A12" s="293"/>
      <x:c r="B12" s="294"/>
      <x:c r="C12" s="295"/>
      <x:c r="D12" s="293"/>
      <x:c r="E12" s="294"/>
      <x:c r="F12" s="295"/>
      <x:c r="G12" s="185"/>
      <x:c r="H12" s="186"/>
      <x:c r="I12" s="187"/>
      <x:c r="J12" s="239"/>
      <x:c r="K12" s="240"/>
      <x:c r="L12" s="241"/>
    </x:row>
    <x:row r="13">
      <x:c r="A13" s="293"/>
      <x:c r="B13" s="294"/>
      <x:c r="C13" s="295"/>
      <x:c r="D13" s="293"/>
      <x:c r="E13" s="294"/>
      <x:c r="F13" s="295"/>
      <x:c r="G13" s="185"/>
      <x:c r="H13" s="186"/>
      <x:c r="I13" s="187"/>
      <x:c r="J13" s="239"/>
      <x:c r="K13" s="240"/>
      <x:c r="L13" s="241"/>
    </x:row>
    <x:row r="14">
      <x:c r="A14" s="296"/>
      <x:c r="B14" s="297"/>
      <x:c r="C14" s="298"/>
      <x:c r="D14" s="296"/>
      <x:c r="E14" s="297"/>
      <x:c r="F14" s="298"/>
      <x:c r="G14" s="188"/>
      <x:c r="H14" s="189"/>
      <x:c r="I14" s="190"/>
      <x:c r="J14" s="242"/>
      <x:c r="K14" s="243"/>
      <x:c r="L14" s="244"/>
    </x:row>
    <x:row r="15">
      <x:c r="A15" s="105" t="str">
        <x:v>Approved Change Value</x:v>
      </x:c>
      <x:c r="B15" s="105"/>
      <x:c r="C15" s="105"/>
      <x:c r="D15" s="105" t="str">
        <x:v>Pending Exposure</x:v>
      </x:c>
      <x:c r="E15" s="105"/>
      <x:c r="F15" s="105"/>
      <x:c r="G15" s="105" t="str">
        <x:v>Avg Approval Cycle</x:v>
      </x:c>
      <x:c r="H15" s="105"/>
      <x:c r="I15" s="105"/>
      <x:c r="J15" s="105" t="str">
        <x:v>RFI-to-Change</x:v>
      </x:c>
      <x:c r="K15" s="105"/>
      <x:c r="L15" s="105"/>
    </x:row>
    <x:row r="18">
      <x:c r="A18" s="6" t="str">
        <x:v>Workflow Health</x:v>
      </x:c>
      <x:c r="B18" s="6" t="str">
        <x:v>Projects</x:v>
      </x:c>
      <x:c r="J18" s="6" t="str">
        <x:v>Change Category</x:v>
      </x:c>
      <x:c r="K18" s="6" t="str">
        <x:v>Approved Value</x:v>
      </x:c>
      <x:c r="L18" s="6" t="str">
        <x:v>Pending Exposure</x:v>
      </x:c>
    </x:row>
    <x:row r="19">
      <x:c r="A19" s="327" t="str">
        <x:f>Data_Health!A2</x:f>
        <x:v>Red</x:v>
      </x:c>
      <x:c r="B19" t="n">
        <x:f>Data_Health!B2</x:f>
        <x:v>29</x:v>
      </x:c>
      <x:c r="J19" t="str">
        <x:f>Data_Change!A2</x:f>
        <x:v>Owner-Directed Change</x:v>
      </x:c>
      <x:c r="K19" s="338" t="n">
        <x:f>Data_Change!E2</x:f>
        <x:v>44093100</x:v>
      </x:c>
      <x:c r="L19" s="338" t="n">
        <x:f>Data_Change!F2</x:f>
        <x:v>22849000</x:v>
      </x:c>
    </x:row>
    <x:row r="20">
      <x:c r="A20" s="331" t="str">
        <x:f>Data_Health!A3</x:f>
        <x:v>Yellow</x:v>
      </x:c>
      <x:c r="B20" t="n">
        <x:f>Data_Health!B3</x:f>
        <x:v>48</x:v>
      </x:c>
      <x:c r="J20" t="str">
        <x:f>Data_Change!A3</x:f>
        <x:v>Design Error or Omission</x:v>
      </x:c>
      <x:c r="K20" s="338" t="n">
        <x:f>Data_Change!E3</x:f>
        <x:v>40302400</x:v>
      </x:c>
      <x:c r="L20" s="338" t="n">
        <x:f>Data_Change!F3</x:f>
        <x:v>14907000</x:v>
      </x:c>
    </x:row>
    <x:row r="21">
      <x:c r="A21" s="335" t="str">
        <x:f>Data_Health!A4</x:f>
        <x:v>Green</x:v>
      </x:c>
      <x:c r="B21" t="n">
        <x:f>Data_Health!B4</x:f>
        <x:v>13</x:v>
      </x:c>
      <x:c r="J21" t="str">
        <x:f>Data_Change!A4</x:f>
        <x:v>Unforeseen Condition</x:v>
      </x:c>
      <x:c r="K21" s="338" t="n">
        <x:f>Data_Change!E4</x:f>
        <x:v>39882000</x:v>
      </x:c>
      <x:c r="L21" s="338" t="n">
        <x:f>Data_Change!F4</x:f>
        <x:v>17020000</x:v>
      </x:c>
    </x:row>
    <x:row r="22">
      <x:c r="J22" t="str">
        <x:f>Data_Change!A5</x:f>
        <x:v>Code or Regulatory Requirement</x:v>
      </x:c>
      <x:c r="K22" s="338" t="n">
        <x:f>Data_Change!E5</x:f>
        <x:v>16442100</x:v>
      </x:c>
      <x:c r="L22" s="338" t="n">
        <x:f>Data_Change!F5</x:f>
        <x:v>6094000</x:v>
      </x:c>
    </x:row>
    <x:row r="23">
      <x:c r="J23" t="str">
        <x:f>Data_Change!A6</x:f>
        <x:v>Substitution</x:v>
      </x:c>
      <x:c r="K23" s="338" t="n">
        <x:f>Data_Change!E6</x:f>
        <x:v>14284000</x:v>
      </x:c>
      <x:c r="L23" s="338" t="n">
        <x:f>Data_Change!F6</x:f>
        <x:v>6963000</x:v>
      </x:c>
    </x:row>
    <x:row r="33">
      <x:c r="A33" s="340" t="str">
        <x:v>Key Findings</x:v>
      </x:c>
      <x:c r="B33" s="340"/>
      <x:c r="C33" s="340"/>
      <x:c r="D33" s="340"/>
      <x:c r="E33" s="340"/>
      <x:c r="F33" s="340"/>
      <x:c r="G33" s="340"/>
      <x:c r="H33" s="340"/>
    </x:row>
    <x:row r="34" ht="44" customHeight="1">
      <x:c r="A34" s="350" t="str">
        <x:v>1</x:v>
      </x:c>
      <x:c r="B34" s="350" t="str">
        <x:v>Cross-process speed</x:v>
      </x:c>
      <x:c r="C34" s="345" t="str">
        <x:v>Project-average RFI response and change approval cycle have the strongest tested association: Pearson r = 0.817; R² = 0.668.</x:v>
      </x:c>
      <x:c r="D34" s="345"/>
      <x:c r="E34" s="345"/>
      <x:c r="F34" s="345"/>
      <x:c r="G34" s="345"/>
      <x:c r="H34" s="345"/>
    </x:row>
    <x:row r="35" ht="44" customHeight="1">
      <x:c r="A35" s="360" t="str">
        <x:v>2</x:v>
      </x:c>
      <x:c r="B35" s="360" t="str">
        <x:v>Decision profile</x:v>
      </x:c>
      <x:c r="C35" s="355" t="str">
        <x:v>Slow owner-decision projects averaged 16.45 RFI-response days, 26.3% on-time RFI performance, and 37.98 change-approval days.</x:v>
      </x:c>
      <x:c r="D35" s="355"/>
      <x:c r="E35" s="355"/>
      <x:c r="F35" s="355"/>
      <x:c r="G35" s="355"/>
      <x:c r="H35" s="355"/>
    </x:row>
    <x:row r="36" ht="44" customHeight="1">
      <x:c r="A36" s="350" t="str">
        <x:v>3</x:v>
      </x:c>
      <x:c r="B36" s="350" t="str">
        <x:v>Digital coordination</x:v>
      </x:c>
      <x:c r="C36" s="345" t="str">
        <x:v>High digital-coordination projects averaged 9.55 response days and 62.0% on-time performance.</x:v>
      </x:c>
      <x:c r="D36" s="345"/>
      <x:c r="E36" s="345"/>
      <x:c r="F36" s="345"/>
      <x:c r="G36" s="345"/>
      <x:c r="H36" s="345"/>
    </x:row>
    <x:row r="37" ht="44" customHeight="1">
      <x:c r="A37" s="360" t="str">
        <x:v>4</x:v>
      </x:c>
      <x:c r="B37" s="360" t="str">
        <x:v>RFI impact driver</x:v>
      </x:c>
      <x:c r="C37" s="355" t="str">
        <x:v>Coordination Conflict RFIs generated the greatest actual cost impact: $8.23M and 533 schedule-impact days.</x:v>
      </x:c>
      <x:c r="D37" s="355"/>
      <x:c r="E37" s="355"/>
      <x:c r="F37" s="355"/>
      <x:c r="G37" s="355"/>
      <x:c r="H37" s="355"/>
    </x:row>
    <x:row r="38" ht="44" customHeight="1">
      <x:c r="A38" s="350" t="str">
        <x:v>5</x:v>
      </x:c>
      <x:c r="B38" s="350" t="str">
        <x:v>Commercial concentration</x:v>
      </x:c>
      <x:c r="C38" s="345" t="str">
        <x:v>Owner-directed, design error/omission, and unforeseen-condition changes generated $124.28M in approved value.</x:v>
      </x:c>
      <x:c r="D38" s="345"/>
      <x:c r="E38" s="345"/>
      <x:c r="F38" s="345"/>
      <x:c r="G38" s="345"/>
      <x:c r="H38" s="345"/>
    </x:row>
    <x:row r="42">
      <x:c r="A42" s="6" t="str">
        <x:v>Project ID</x:v>
      </x:c>
      <x:c r="B42" s="6" t="str">
        <x:v>Project</x:v>
      </x:c>
      <x:c r="C42" s="6" t="str">
        <x:v>Risk Score</x:v>
      </x:c>
      <x:c r="D42" s="6" t="str">
        <x:v>Health</x:v>
      </x:c>
      <x:c r="E42" s="6" t="str">
        <x:v>Avg RFI Days</x:v>
      </x:c>
      <x:c r="F42" s="6" t="str">
        <x:v>Avg Approval Days</x:v>
      </x:c>
      <x:c r="G42" s="6" t="str">
        <x:v>Pending / Budget</x:v>
      </x:c>
    </x:row>
    <x:row r="43">
      <x:c r="A43" t="str">
        <x:f>Data_Top10!A2</x:f>
        <x:v>PRJ-006</x:v>
      </x:c>
      <x:c r="B43" t="str">
        <x:f>Data_Top10!B2</x:f>
        <x:v>Summit Corporate Center</x:v>
      </x:c>
      <x:c r="C43" t="n">
        <x:f>Data_Top10!C2</x:f>
        <x:v>10</x:v>
      </x:c>
      <x:c r="D43" t="str">
        <x:f>Data_Top10!D2</x:f>
        <x:v>Red</x:v>
      </x:c>
      <x:c r="E43" s="362" t="n">
        <x:f>Data_Top10!E2</x:f>
        <x:v>11.484848484848484</x:v>
      </x:c>
      <x:c r="F43" s="362" t="n">
        <x:f>Data_Top10!F2</x:f>
        <x:v>32.5</x:v>
      </x:c>
      <x:c r="G43" s="364" t="n">
        <x:f>Data_Top10!G2</x:f>
        <x:v>0.02658</x:v>
      </x:c>
    </x:row>
    <x:row r="44">
      <x:c r="A44" t="str">
        <x:f>Data_Top10!A3</x:f>
        <x:v>PRJ-025</x:v>
      </x:c>
      <x:c r="B44" t="str">
        <x:f>Data_Top10!B3</x:f>
        <x:v>Canyon Transit-Oriented Development</x:v>
      </x:c>
      <x:c r="C44" t="n">
        <x:f>Data_Top10!C3</x:f>
        <x:v>9</x:v>
      </x:c>
      <x:c r="D44" t="str">
        <x:f>Data_Top10!D3</x:f>
        <x:v>Red</x:v>
      </x:c>
      <x:c r="E44" s="362" t="n">
        <x:f>Data_Top10!E3</x:f>
        <x:v>17.032258064516128</x:v>
      </x:c>
      <x:c r="F44" s="362" t="n">
        <x:f>Data_Top10!F3</x:f>
        <x:v>51</x:v>
      </x:c>
      <x:c r="G44" s="364" t="n">
        <x:f>Data_Top10!G3</x:f>
        <x:v>0.029500000000000002</x:v>
      </x:c>
    </x:row>
    <x:row r="45">
      <x:c r="A45" t="str">
        <x:f>Data_Top10!A4</x:f>
        <x:v>PRJ-075</x:v>
      </x:c>
      <x:c r="B45" t="str">
        <x:f>Data_Top10!B4</x:f>
        <x:v>Summit Urban Village</x:v>
      </x:c>
      <x:c r="C45" t="n">
        <x:f>Data_Top10!C4</x:f>
        <x:v>9</x:v>
      </x:c>
      <x:c r="D45" t="str">
        <x:f>Data_Top10!D4</x:f>
        <x:v>Red</x:v>
      </x:c>
      <x:c r="E45" s="362" t="n">
        <x:f>Data_Top10!E4</x:f>
        <x:v>18.583333333333332</x:v>
      </x:c>
      <x:c r="F45" s="362" t="n">
        <x:f>Data_Top10!F4</x:f>
        <x:v>43.625</x:v>
      </x:c>
      <x:c r="G45" s="364" t="n">
        <x:f>Data_Top10!G4</x:f>
        <x:v>0.01403</x:v>
      </x:c>
    </x:row>
    <x:row r="46">
      <x:c r="A46" t="str">
        <x:f>Data_Top10!A5</x:f>
        <x:v>PRJ-051</x:v>
      </x:c>
      <x:c r="B46" t="str">
        <x:f>Data_Top10!B5</x:f>
        <x:v>Evergreen Apartments</x:v>
      </x:c>
      <x:c r="C46" t="n">
        <x:f>Data_Top10!C5</x:f>
        <x:v>9</x:v>
      </x:c>
      <x:c r="D46" t="str">
        <x:f>Data_Top10!D5</x:f>
        <x:v>Red</x:v>
      </x:c>
      <x:c r="E46" s="362" t="n">
        <x:f>Data_Top10!E5</x:f>
        <x:v>21.096153846153847</x:v>
      </x:c>
      <x:c r="F46" s="362" t="n">
        <x:f>Data_Top10!F5</x:f>
        <x:v>45.857142857142854</x:v>
      </x:c>
      <x:c r="G46" s="364" t="n">
        <x:f>Data_Top10!G5</x:f>
        <x:v>0.005620000000000001</x:v>
      </x:c>
    </x:row>
    <x:row r="47">
      <x:c r="A47" t="str">
        <x:f>Data_Top10!A6</x:f>
        <x:v>PRJ-013</x:v>
      </x:c>
      <x:c r="B47" t="str">
        <x:f>Data_Top10!B6</x:f>
        <x:v>Aspen Civic Complex 2</x:v>
      </x:c>
      <x:c r="C47" t="n">
        <x:f>Data_Top10!C6</x:f>
        <x:v>9</x:v>
      </x:c>
      <x:c r="D47" t="str">
        <x:f>Data_Top10!D6</x:f>
        <x:v>Red</x:v>
      </x:c>
      <x:c r="E47" s="362" t="n">
        <x:f>Data_Top10!E6</x:f>
        <x:v>10.394736842105264</x:v>
      </x:c>
      <x:c r="F47" s="362" t="n">
        <x:f>Data_Top10!F6</x:f>
        <x:v>29.571428571428573</x:v>
      </x:c>
      <x:c r="G47" s="364" t="n">
        <x:f>Data_Top10!G6</x:f>
        <x:v>0.00515</x:v>
      </x:c>
    </x:row>
  </x:sheetData>
  <x:mergeCells>
    <x:mergeCell ref="A1:N1"/>
    <x:mergeCell ref="A2:N3"/>
    <x:mergeCell ref="A5:C8"/>
    <x:mergeCell ref="A9:C9"/>
    <x:mergeCell ref="D5:F8"/>
    <x:mergeCell ref="D9:F9"/>
    <x:mergeCell ref="G5:I8"/>
    <x:mergeCell ref="G9:I9"/>
    <x:mergeCell ref="J5:L8"/>
    <x:mergeCell ref="J9:L9"/>
    <x:mergeCell ref="A11:C14"/>
    <x:mergeCell ref="A15:C15"/>
    <x:mergeCell ref="D11:F14"/>
    <x:mergeCell ref="D15:F15"/>
    <x:mergeCell ref="G11:I14"/>
    <x:mergeCell ref="G15:I15"/>
    <x:mergeCell ref="J11:L14"/>
    <x:mergeCell ref="J15:L15"/>
    <x:mergeCell ref="A33:H33"/>
    <x:mergeCell ref="C34:H34"/>
    <x:mergeCell ref="C35:H35"/>
    <x:mergeCell ref="C36:H36"/>
    <x:mergeCell ref="C37:H37"/>
    <x:mergeCell ref="C38:H38"/>
  </x:mergeCells>
  <x:conditionalFormatting sqref="D43:D47">
    <x:cfRule type="expression" dxfId="0" priority="1">
      <x:formula>D43="Red"</x:formula>
    </x:cfRule>
  </x:conditionalFormatting>
  <x:conditionalFormatting sqref="C43:C47">
    <x:cfRule type="dataBar" priority="2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{E2B0229A-B8A0-18A0-91E7-8AEF68C0D762}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8deb85d5dd64efc"/>
  <x:tableParts count="3">
    <x:tablePart xmlns:r="http://schemas.openxmlformats.org/officeDocument/2006/relationships" r:id="Ra7b9ce2638dd4a32"/>
    <x:tablePart xmlns:r="http://schemas.openxmlformats.org/officeDocument/2006/relationships" r:id="R720912e4823142ac"/>
    <x:tablePart xmlns:r="http://schemas.openxmlformats.org/officeDocument/2006/relationships" r:id="Reee5b8a0bedf4b8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2B0229A-B8A0-18A0-91E7-8AEF68C0D762}">
            <x14:dataBar gradient="1">
              <x14:cfvo type="min"/>
              <x14:cfvo type="max"/>
              <x14:fillColor rgb="FF1EA7C5"/>
            </x14:dataBar>
          </x14:cfRule>
          <xm:sqref>C43:C47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28" hidden="0" customWidth="1"/>
    <x:col min="12" max="12" width="24" hidden="0" customWidth="1"/>
    <x:col min="13" max="13" width="16" hidden="0" customWidth="1"/>
    <x:col min="14" max="14" width="16" hidden="0" customWidth="1"/>
    <x:col min="15" max="15" width="16" hidden="0" customWidth="1"/>
    <x:col min="16" max="16" width="2" hidden="0" customWidth="1"/>
    <x:col min="17" max="17" width="2" hidden="0" customWidth="1"/>
    <x:col min="18" max="18" width="2" hidden="0" customWidth="1"/>
  </x:cols>
  <x:sheetData>
    <x:row r="1" ht="34" customHeight="1">
      <x:c r="A1" s="390" t="str">
        <x:v>Operational Workflow Dashboard</x:v>
      </x:c>
      <x:c r="B1" s="390"/>
      <x:c r="C1" s="390"/>
      <x:c r="D1" s="390"/>
      <x:c r="E1" s="390"/>
      <x:c r="F1" s="390"/>
      <x:c r="G1" s="390"/>
      <x:c r="H1" s="390"/>
      <x:c r="I1" s="390"/>
      <x:c r="J1" s="390"/>
      <x:c r="K1" s="390"/>
      <x:c r="L1" s="390"/>
      <x:c r="M1" s="390"/>
      <x:c r="N1" s="390"/>
      <x:c r="O1" s="15"/>
      <x:c r="P1" s="15"/>
      <x:c r="Q1" s="15"/>
      <x:c r="R1" s="15"/>
    </x:row>
    <x:row r="2">
      <x:c r="A2" s="391" t="str">
        <x:v>RFI performance, root-cause impact, change approval, and portfolio workflow interpretation.</x:v>
      </x:c>
      <x:c r="B2" s="391"/>
      <x:c r="C2" s="391"/>
      <x:c r="D2" s="391"/>
      <x:c r="E2" s="391"/>
      <x:c r="F2" s="391"/>
      <x:c r="G2" s="391"/>
      <x:c r="H2" s="391"/>
      <x:c r="I2" s="391"/>
      <x:c r="J2" s="391"/>
      <x:c r="K2" s="391"/>
      <x:c r="L2" s="391"/>
      <x:c r="M2" s="391"/>
      <x:c r="N2" s="391"/>
      <x:c r="O2" s="23"/>
      <x:c r="P2" s="23"/>
      <x:c r="Q2" s="23"/>
      <x:c r="R2" s="23"/>
    </x:row>
    <x:row r="3">
      <x:c r="A3" s="391"/>
      <x:c r="B3" s="391"/>
      <x:c r="C3" s="391"/>
      <x:c r="D3" s="391"/>
      <x:c r="E3" s="391"/>
      <x:c r="F3" s="391"/>
      <x:c r="G3" s="391"/>
      <x:c r="H3" s="391"/>
      <x:c r="I3" s="391"/>
      <x:c r="J3" s="391"/>
      <x:c r="K3" s="391"/>
      <x:c r="L3" s="391"/>
      <x:c r="M3" s="391"/>
      <x:c r="N3" s="391"/>
      <x:c r="O3" s="23"/>
      <x:c r="P3" s="23"/>
      <x:c r="Q3" s="23"/>
      <x:c r="R3" s="23"/>
    </x:row>
    <x:row r="5" ht="22" customHeight="1">
      <x:c r="A5" s="377" t="str">
        <x:v>Discipline</x:v>
      </x:c>
      <x:c r="B5" s="377" t="str">
        <x:v>RFIs</x:v>
      </x:c>
      <x:c r="C5" s="377" t="str">
        <x:v>Avg Response</x:v>
      </x:c>
      <x:c r="D5" s="377" t="str">
        <x:v>On-Time</x:v>
      </x:c>
      <x:c r="E5" s="377" t="str">
        <x:v>Overdue Open</x:v>
      </x:c>
      <x:c r="F5" s="377" t="str">
        <x:v>RFI-to-Change</x:v>
      </x:c>
      <x:c r="J5" s="6"/>
      <x:c r="K5" s="6"/>
      <x:c r="L5" s="6"/>
      <x:c r="M5" s="6"/>
      <x:c r="N5" s="6"/>
      <x:c r="O5" s="6"/>
      <x:c r="P5" s="6" t="str">
        <x:v>Discipline</x:v>
      </x:c>
      <x:c r="Q5" s="6" t="str">
        <x:v>Avg Response</x:v>
      </x:c>
    </x:row>
    <x:row r="6" ht="18" customHeight="1">
      <x:c r="A6" t="str">
        <x:f>Data_RFI!A2</x:f>
        <x:v>Specialty Systems</x:v>
      </x:c>
      <x:c r="B6" t="n">
        <x:f>Data_RFI!B2</x:f>
        <x:v>231</x:v>
      </x:c>
      <x:c r="C6" t="n">
        <x:f>Data_RFI!C2</x:f>
        <x:v>13.64</x:v>
      </x:c>
      <x:c r="D6" s="366" t="n">
        <x:f>Data_RFI!D2</x:f>
        <x:v>0.41200000000000003</x:v>
      </x:c>
      <x:c r="E6" t="n">
        <x:f>Data_RFI!E2</x:f>
        <x:v>20</x:v>
      </x:c>
      <x:c r="F6" s="366" t="n">
        <x:f>Data_RFI!F2</x:f>
        <x:v>0.147</x:v>
      </x:c>
      <x:c r="J6"/>
      <x:c r="K6"/>
      <x:c r="L6"/>
      <x:c r="M6"/>
      <x:c r="N6"/>
      <x:c r="O6"/>
      <x:c r="P6" t="str">
        <x:f>A6</x:f>
        <x:v>Specialty Systems</x:v>
      </x:c>
      <x:c r="Q6" t="n">
        <x:f>C6</x:f>
        <x:v>13.64</x:v>
      </x:c>
    </x:row>
    <x:row r="7" ht="18" customHeight="1">
      <x:c r="A7" t="str">
        <x:f>Data_RFI!A3</x:f>
        <x:v>Mechanical</x:v>
      </x:c>
      <x:c r="B7" t="n">
        <x:f>Data_RFI!B3</x:f>
        <x:v>480</x:v>
      </x:c>
      <x:c r="C7" t="n">
        <x:f>Data_RFI!C3</x:f>
        <x:v>13.43</x:v>
      </x:c>
      <x:c r="D7" s="366" t="n">
        <x:f>Data_RFI!D3</x:f>
        <x:v>0.387</x:v>
      </x:c>
      <x:c r="E7" t="n">
        <x:f>Data_RFI!E3</x:f>
        <x:v>40</x:v>
      </x:c>
      <x:c r="F7" s="366" t="n">
        <x:f>Data_RFI!F3</x:f>
        <x:v>0.192</x:v>
      </x:c>
      <x:c r="J7"/>
      <x:c r="K7"/>
      <x:c r="L7"/>
      <x:c r="M7"/>
      <x:c r="N7"/>
      <x:c r="O7"/>
      <x:c r="P7" t="str">
        <x:f>A7</x:f>
        <x:v>Mechanical</x:v>
      </x:c>
      <x:c r="Q7" t="n">
        <x:f>C7</x:f>
        <x:v>13.43</x:v>
      </x:c>
    </x:row>
    <x:row r="8" ht="18" customHeight="1">
      <x:c r="A8" t="str">
        <x:f>Data_RFI!A4</x:f>
        <x:v>Electrical</x:v>
      </x:c>
      <x:c r="B8" t="n">
        <x:f>Data_RFI!B4</x:f>
        <x:v>518</x:v>
      </x:c>
      <x:c r="C8" t="n">
        <x:f>Data_RFI!C4</x:f>
        <x:v>12.98</x:v>
      </x:c>
      <x:c r="D8" s="366" t="n">
        <x:f>Data_RFI!D4</x:f>
        <x:v>0.425</x:v>
      </x:c>
      <x:c r="E8" t="n">
        <x:f>Data_RFI!E4</x:f>
        <x:v>50</x:v>
      </x:c>
      <x:c r="F8" s="366" t="n">
        <x:f>Data_RFI!F4</x:f>
        <x:v>0.17800000000000002</x:v>
      </x:c>
      <x:c r="J8"/>
      <x:c r="K8"/>
      <x:c r="L8"/>
      <x:c r="M8"/>
      <x:c r="N8"/>
      <x:c r="O8"/>
      <x:c r="P8" t="str">
        <x:f>A8</x:f>
        <x:v>Electrical</x:v>
      </x:c>
      <x:c r="Q8" t="n">
        <x:f>C8</x:f>
        <x:v>12.98</x:v>
      </x:c>
    </x:row>
    <x:row r="9" ht="18" customHeight="1">
      <x:c r="A9" t="str">
        <x:f>Data_RFI!A5</x:f>
        <x:v>Structural</x:v>
      </x:c>
      <x:c r="B9" t="n">
        <x:f>Data_RFI!B5</x:f>
        <x:v>413</x:v>
      </x:c>
      <x:c r="C9" t="n">
        <x:f>Data_RFI!C5</x:f>
        <x:v>12.95</x:v>
      </x:c>
      <x:c r="D9" s="366" t="n">
        <x:f>Data_RFI!D5</x:f>
        <x:v>0.41100000000000003</x:v>
      </x:c>
      <x:c r="E9" t="n">
        <x:f>Data_RFI!E5</x:f>
        <x:v>43</x:v>
      </x:c>
      <x:c r="F9" s="366" t="n">
        <x:f>Data_RFI!F5</x:f>
        <x:v>0.174</x:v>
      </x:c>
      <x:c r="J9"/>
      <x:c r="K9"/>
      <x:c r="L9"/>
      <x:c r="M9"/>
      <x:c r="N9"/>
      <x:c r="O9"/>
      <x:c r="P9" t="str">
        <x:f>A9</x:f>
        <x:v>Structural</x:v>
      </x:c>
      <x:c r="Q9" t="n">
        <x:f>C9</x:f>
        <x:v>12.95</x:v>
      </x:c>
    </x:row>
    <x:row r="10" ht="18" customHeight="1">
      <x:c r="A10" t="str">
        <x:f>Data_RFI!A6</x:f>
        <x:v>Fire Protection</x:v>
      </x:c>
      <x:c r="B10" t="n">
        <x:f>Data_RFI!B6</x:f>
        <x:v>181</x:v>
      </x:c>
      <x:c r="C10" t="n">
        <x:f>Data_RFI!C6</x:f>
        <x:v>12.41</x:v>
      </x:c>
      <x:c r="D10" s="366" t="n">
        <x:f>Data_RFI!D6</x:f>
        <x:v>0.434</x:v>
      </x:c>
      <x:c r="E10" t="n">
        <x:f>Data_RFI!E6</x:f>
        <x:v>8</x:v>
      </x:c>
      <x:c r="F10" s="366" t="n">
        <x:f>Data_RFI!F6</x:f>
        <x:v>0.166</x:v>
      </x:c>
      <x:c r="J10"/>
      <x:c r="K10"/>
      <x:c r="L10"/>
      <x:c r="M10"/>
      <x:c r="N10"/>
      <x:c r="O10"/>
      <x:c r="P10" t="str">
        <x:f>A10</x:f>
        <x:v>Fire Protection</x:v>
      </x:c>
      <x:c r="Q10" t="n">
        <x:f>C10</x:f>
        <x:v>12.41</x:v>
      </x:c>
    </x:row>
    <x:row r="11" ht="18" customHeight="1">
      <x:c r="A11" t="str">
        <x:f>Data_RFI!A7</x:f>
        <x:v>Civil</x:v>
      </x:c>
      <x:c r="B11" t="n">
        <x:f>Data_RFI!B7</x:f>
        <x:v>285</x:v>
      </x:c>
      <x:c r="C11" t="n">
        <x:f>Data_RFI!C7</x:f>
        <x:v>12.38</x:v>
      </x:c>
      <x:c r="D11" s="366" t="n">
        <x:f>Data_RFI!D7</x:f>
        <x:v>0.449</x:v>
      </x:c>
      <x:c r="E11" t="n">
        <x:f>Data_RFI!E7</x:f>
        <x:v>21</x:v>
      </x:c>
      <x:c r="F11" s="366" t="n">
        <x:f>Data_RFI!F7</x:f>
        <x:v>0.175</x:v>
      </x:c>
      <x:c r="J11"/>
      <x:c r="K11"/>
      <x:c r="L11"/>
      <x:c r="M11"/>
      <x:c r="N11"/>
      <x:c r="O11"/>
      <x:c r="P11" t="str">
        <x:f>A11</x:f>
        <x:v>Civil</x:v>
      </x:c>
      <x:c r="Q11" t="n">
        <x:f>C11</x:f>
        <x:v>12.38</x:v>
      </x:c>
    </x:row>
    <x:row r="12" ht="18" customHeight="1">
      <x:c r="A12" t="str">
        <x:f>Data_RFI!A8</x:f>
        <x:v>Controls</x:v>
      </x:c>
      <x:c r="B12" t="n">
        <x:f>Data_RFI!B8</x:f>
        <x:v>157</x:v>
      </x:c>
      <x:c r="C12" t="n">
        <x:f>Data_RFI!C8</x:f>
        <x:v>12.18</x:v>
      </x:c>
      <x:c r="D12" s="366" t="n">
        <x:f>Data_RFI!D8</x:f>
        <x:v>0.49</x:v>
      </x:c>
      <x:c r="E12" t="n">
        <x:f>Data_RFI!E8</x:f>
        <x:v>10</x:v>
      </x:c>
      <x:c r="F12" s="366" t="n">
        <x:f>Data_RFI!F8</x:f>
        <x:v>0.191</x:v>
      </x:c>
      <x:c r="J12"/>
      <x:c r="K12"/>
      <x:c r="L12"/>
      <x:c r="M12"/>
      <x:c r="N12"/>
      <x:c r="O12"/>
      <x:c r="P12" t="str">
        <x:f>A12</x:f>
        <x:v>Controls</x:v>
      </x:c>
      <x:c r="Q12" t="n">
        <x:f>C12</x:f>
        <x:v>12.18</x:v>
      </x:c>
    </x:row>
    <x:row r="13" ht="18" customHeight="1">
      <x:c r="A13" t="str">
        <x:f>Data_RFI!A9</x:f>
        <x:v>Plumbing</x:v>
      </x:c>
      <x:c r="B13" t="n">
        <x:f>Data_RFI!B9</x:f>
        <x:v>283</x:v>
      </x:c>
      <x:c r="C13" t="n">
        <x:f>Data_RFI!C9</x:f>
        <x:v>11.18</x:v>
      </x:c>
      <x:c r="D13" s="366" t="n">
        <x:f>Data_RFI!D9</x:f>
        <x:v>0.486</x:v>
      </x:c>
      <x:c r="E13" t="n">
        <x:f>Data_RFI!E9</x:f>
        <x:v>28</x:v>
      </x:c>
      <x:c r="F13" s="366" t="n">
        <x:f>Data_RFI!F9</x:f>
        <x:v>0.134</x:v>
      </x:c>
      <x:c r="J13"/>
      <x:c r="K13"/>
      <x:c r="L13"/>
      <x:c r="M13"/>
      <x:c r="N13"/>
      <x:c r="O13"/>
      <x:c r="P13" t="str">
        <x:f>A13</x:f>
        <x:v>Plumbing</x:v>
      </x:c>
      <x:c r="Q13" t="n">
        <x:f>C13</x:f>
        <x:v>11.18</x:v>
      </x:c>
    </x:row>
    <x:row r="14" ht="18" customHeight="1">
      <x:c r="A14" t="str">
        <x:f>Data_RFI!A10</x:f>
        <x:v>Architectural</x:v>
      </x:c>
      <x:c r="B14" t="n">
        <x:f>Data_RFI!B10</x:f>
        <x:v>495</x:v>
      </x:c>
      <x:c r="C14" t="n">
        <x:f>Data_RFI!C10</x:f>
        <x:v>10.89</x:v>
      </x:c>
      <x:c r="D14" s="366" t="n">
        <x:f>Data_RFI!D10</x:f>
        <x:v>0.51</x:v>
      </x:c>
      <x:c r="E14" t="n">
        <x:f>Data_RFI!E10</x:f>
        <x:v>53</x:v>
      </x:c>
      <x:c r="F14" s="366" t="n">
        <x:f>Data_RFI!F10</x:f>
        <x:v>0.168</x:v>
      </x:c>
      <x:c r="J14"/>
      <x:c r="K14"/>
      <x:c r="L14"/>
      <x:c r="M14"/>
      <x:c r="N14"/>
      <x:c r="O14"/>
      <x:c r="P14" t="str">
        <x:f>A14</x:f>
        <x:v>Architectural</x:v>
      </x:c>
      <x:c r="Q14" t="n">
        <x:f>C14</x:f>
        <x:v>10.89</x:v>
      </x:c>
    </x:row>
    <x:row r="15" ht="18" customHeight="1">
      <x:c r="A15" t="str">
        <x:f>Data_RFI!A11</x:f>
        <x:v>General</x:v>
      </x:c>
      <x:c r="B15" t="n">
        <x:f>Data_RFI!B11</x:f>
        <x:v>275</x:v>
      </x:c>
      <x:c r="C15" t="n">
        <x:f>Data_RFI!C11</x:f>
        <x:v>9.46</x:v>
      </x:c>
      <x:c r="D15" s="366" t="n">
        <x:f>Data_RFI!D11</x:f>
        <x:v>0.623</x:v>
      </x:c>
      <x:c r="E15" t="n">
        <x:f>Data_RFI!E11</x:f>
        <x:v>22</x:v>
      </x:c>
      <x:c r="F15" s="366" t="n">
        <x:f>Data_RFI!F11</x:f>
        <x:v>0.175</x:v>
      </x:c>
      <x:c r="J15"/>
      <x:c r="K15"/>
      <x:c r="L15"/>
      <x:c r="M15"/>
      <x:c r="N15"/>
      <x:c r="O15"/>
      <x:c r="P15" t="str">
        <x:f>A15</x:f>
        <x:v>General</x:v>
      </x:c>
      <x:c r="Q15" t="n">
        <x:f>C15</x:f>
        <x:v>9.46</x:v>
      </x:c>
    </x:row>
    <x:row r="16">
      <x:c r="J16"/>
      <x:c r="K16"/>
      <x:c r="L16"/>
      <x:c r="M16"/>
      <x:c r="N16"/>
      <x:c r="O16"/>
      <x:c r="P16"/>
      <x:c r="Q16"/>
    </x:row>
    <x:row r="17">
      <x:c r="J17"/>
      <x:c r="K17"/>
      <x:c r="L17"/>
      <x:c r="M17"/>
      <x:c r="N17"/>
      <x:c r="O17"/>
      <x:c r="P17"/>
      <x:c r="Q17"/>
    </x:row>
    <x:row r="19" ht="22" customHeight="1">
      <x:c r="A19" s="377" t="str">
        <x:v>RFI Type</x:v>
      </x:c>
      <x:c r="B19" s="377" t="str">
        <x:v>RFIs</x:v>
      </x:c>
      <x:c r="C19" s="377" t="str">
        <x:v>Cost Impact</x:v>
      </x:c>
      <x:c r="D19" s="377" t="str">
        <x:v>Schedule Days</x:v>
      </x:c>
      <x:c r="E19" s="377" t="str">
        <x:v>Conversion Rate</x:v>
      </x:c>
      <x:c r="P19" t="str">
        <x:v>RFI Type</x:v>
      </x:c>
      <x:c r="Q19" t="str">
        <x:v>Cost Impact</x:v>
      </x:c>
    </x:row>
    <x:row r="20" ht="18" customHeight="1">
      <x:c r="A20" t="str">
        <x:f>Data_RFI_Type!A2</x:f>
        <x:v>Coordination Conflict</x:v>
      </x:c>
      <x:c r="B20" t="n">
        <x:f>Data_RFI_Type!B2</x:f>
        <x:v>757</x:v>
      </x:c>
      <x:c r="C20" s="338" t="n">
        <x:f>Data_RFI_Type!F2</x:f>
        <x:v>8225100</x:v>
      </x:c>
      <x:c r="D20" t="n">
        <x:f>Data_RFI_Type!G2</x:f>
        <x:v>533</x:v>
      </x:c>
      <x:c r="E20" s="366" t="n">
        <x:f>Data_RFI_Type!E2</x:f>
        <x:v>0.18899999999999997</x:v>
      </x:c>
      <x:c r="P20" t="str">
        <x:f>A20</x:f>
        <x:v>Coordination Conflict</x:v>
      </x:c>
      <x:c r="Q20" t="n">
        <x:f>C20</x:f>
        <x:v>8225100</x:v>
      </x:c>
    </x:row>
    <x:row r="21" ht="18" customHeight="1">
      <x:c r="A21" t="str">
        <x:f>Data_RFI_Type!A3</x:f>
        <x:v>Design Clarification</x:v>
      </x:c>
      <x:c r="B21" t="n">
        <x:f>Data_RFI_Type!B3</x:f>
        <x:v>872</x:v>
      </x:c>
      <x:c r="C21" s="338" t="n">
        <x:f>Data_RFI_Type!F3</x:f>
        <x:v>6777000</x:v>
      </x:c>
      <x:c r="D21" t="n">
        <x:f>Data_RFI_Type!G3</x:f>
        <x:v>449</x:v>
      </x:c>
      <x:c r="E21" s="366" t="n">
        <x:f>Data_RFI_Type!E3</x:f>
        <x:v>0.133</x:v>
      </x:c>
      <x:c r="P21" t="str">
        <x:f>A21</x:f>
        <x:v>Design Clarification</x:v>
      </x:c>
      <x:c r="Q21" t="n">
        <x:f>C21</x:f>
        <x:v>6777000</x:v>
      </x:c>
    </x:row>
    <x:row r="22" ht="18" customHeight="1">
      <x:c r="A22" t="str">
        <x:f>Data_RFI_Type!A4</x:f>
        <x:v>Missing Information</x:v>
      </x:c>
      <x:c r="B22" t="n">
        <x:f>Data_RFI_Type!B4</x:f>
        <x:v>478</x:v>
      </x:c>
      <x:c r="C22" s="338" t="n">
        <x:f>Data_RFI_Type!F4</x:f>
        <x:v>4057500</x:v>
      </x:c>
      <x:c r="D22" t="n">
        <x:f>Data_RFI_Type!G4</x:f>
        <x:v>525</x:v>
      </x:c>
      <x:c r="E22" s="366" t="n">
        <x:f>Data_RFI_Type!E4</x:f>
        <x:v>0.18</x:v>
      </x:c>
      <x:c r="J22" s="6"/>
      <x:c r="K22" s="6"/>
      <x:c r="L22" s="6"/>
      <x:c r="M22" s="6"/>
      <x:c r="N22" s="6"/>
      <x:c r="O22" s="6"/>
      <x:c r="P22" s="6" t="str">
        <x:f>A22</x:f>
        <x:v>Missing Information</x:v>
      </x:c>
      <x:c r="Q22" s="6" t="n">
        <x:f>C22</x:f>
        <x:v>4057500</x:v>
      </x:c>
    </x:row>
    <x:row r="23" ht="18" customHeight="1">
      <x:c r="A23" t="str">
        <x:f>Data_RFI_Type!A5</x:f>
        <x:v>Constructability</x:v>
      </x:c>
      <x:c r="B23" t="n">
        <x:f>Data_RFI_Type!B5</x:f>
        <x:v>404</x:v>
      </x:c>
      <x:c r="C23" s="338" t="n">
        <x:f>Data_RFI_Type!F5</x:f>
        <x:v>3651100</x:v>
      </x:c>
      <x:c r="D23" t="n">
        <x:f>Data_RFI_Type!G5</x:f>
        <x:v>269</x:v>
      </x:c>
      <x:c r="E23" s="366" t="n">
        <x:f>Data_RFI_Type!E5</x:f>
        <x:v>0.163</x:v>
      </x:c>
      <x:c r="J23"/>
      <x:c r="K23"/>
      <x:c r="L23"/>
      <x:c r="M23"/>
      <x:c r="N23" s="366"/>
      <x:c r="O23"/>
      <x:c r="P23" t="str">
        <x:f>A23</x:f>
        <x:v>Constructability</x:v>
      </x:c>
      <x:c r="Q23" s="338" t="n">
        <x:f>C23</x:f>
        <x:v>3651100</x:v>
      </x:c>
    </x:row>
    <x:row r="24" ht="18" customHeight="1">
      <x:c r="A24" t="str">
        <x:f>Data_RFI_Type!A6</x:f>
        <x:v>Field Condition</x:v>
      </x:c>
      <x:c r="B24" t="n">
        <x:f>Data_RFI_Type!B6</x:f>
        <x:v>386</x:v>
      </x:c>
      <x:c r="C24" s="338" t="n">
        <x:f>Data_RFI_Type!F6</x:f>
        <x:v>3559900</x:v>
      </x:c>
      <x:c r="D24" t="n">
        <x:f>Data_RFI_Type!G6</x:f>
        <x:v>494</x:v>
      </x:c>
      <x:c r="E24" s="366" t="n">
        <x:f>Data_RFI_Type!E6</x:f>
        <x:v>0.21</x:v>
      </x:c>
      <x:c r="J24"/>
      <x:c r="K24"/>
      <x:c r="L24"/>
      <x:c r="M24"/>
      <x:c r="N24" s="366"/>
      <x:c r="O24"/>
      <x:c r="P24" t="str">
        <x:f>A24</x:f>
        <x:v>Field Condition</x:v>
      </x:c>
      <x:c r="Q24" s="338" t="n">
        <x:f>C24</x:f>
        <x:v>3559900</x:v>
      </x:c>
    </x:row>
    <x:row r="25" ht="18" customHeight="1">
      <x:c r="A25" t="str">
        <x:f>Data_RFI_Type!A7</x:f>
        <x:v>Substitution Request</x:v>
      </x:c>
      <x:c r="B25" t="n">
        <x:f>Data_RFI_Type!B7</x:f>
        <x:v>259</x:v>
      </x:c>
      <x:c r="C25" s="338" t="n">
        <x:f>Data_RFI_Type!F7</x:f>
        <x:v>2436100</x:v>
      </x:c>
      <x:c r="D25" t="n">
        <x:f>Data_RFI_Type!G7</x:f>
        <x:v>211</x:v>
      </x:c>
      <x:c r="E25" s="366" t="n">
        <x:f>Data_RFI_Type!E7</x:f>
        <x:v>0.19699999999999998</x:v>
      </x:c>
      <x:c r="J25"/>
      <x:c r="K25"/>
      <x:c r="L25"/>
      <x:c r="M25"/>
      <x:c r="N25" s="366"/>
      <x:c r="O25"/>
      <x:c r="P25" t="str">
        <x:f>A25</x:f>
        <x:v>Substitution Request</x:v>
      </x:c>
      <x:c r="Q25" s="338" t="n">
        <x:f>C25</x:f>
        <x:v>2436100</x:v>
      </x:c>
    </x:row>
    <x:row r="26" ht="18" customHeight="1">
      <x:c r="A26" t="str">
        <x:f>Data_RFI_Type!A8</x:f>
        <x:v>Code Compliance</x:v>
      </x:c>
      <x:c r="B26" t="n">
        <x:f>Data_RFI_Type!B8</x:f>
        <x:v>162</x:v>
      </x:c>
      <x:c r="C26" s="338" t="n">
        <x:f>Data_RFI_Type!F8</x:f>
        <x:v>901800</x:v>
      </x:c>
      <x:c r="D26" t="n">
        <x:f>Data_RFI_Type!G8</x:f>
        <x:v>91</x:v>
      </x:c>
      <x:c r="E26" s="366" t="n">
        <x:f>Data_RFI_Type!E8</x:f>
        <x:v>0.16</x:v>
      </x:c>
      <x:c r="J26"/>
      <x:c r="K26"/>
      <x:c r="L26"/>
      <x:c r="M26"/>
      <x:c r="N26" s="366"/>
      <x:c r="O26"/>
      <x:c r="P26" t="str">
        <x:f>A26</x:f>
        <x:v>Code Compliance</x:v>
      </x:c>
      <x:c r="Q26" s="338" t="n">
        <x:f>C26</x:f>
        <x:v>901800</x:v>
      </x:c>
    </x:row>
    <x:row r="27">
      <x:c r="J27"/>
      <x:c r="K27"/>
      <x:c r="L27"/>
      <x:c r="M27"/>
      <x:c r="N27" s="366"/>
      <x:c r="O27"/>
      <x:c r="P27"/>
      <x:c r="Q27" s="338"/>
    </x:row>
    <x:row r="28">
      <x:c r="J28"/>
      <x:c r="K28"/>
      <x:c r="L28"/>
      <x:c r="M28"/>
      <x:c r="N28" s="366"/>
      <x:c r="O28"/>
      <x:c r="P28"/>
      <x:c r="Q28" s="338"/>
    </x:row>
    <x:row r="31" ht="22" customHeight="1">
      <x:c r="A31" s="377" t="str">
        <x:v>Change Category</x:v>
      </x:c>
      <x:c r="B31" s="377" t="str">
        <x:v>Count</x:v>
      </x:c>
      <x:c r="C31" s="377" t="str">
        <x:v>Approved</x:v>
      </x:c>
      <x:c r="D31" s="377" t="str">
        <x:v>Pending</x:v>
      </x:c>
      <x:c r="E31" s="377" t="str">
        <x:v>Approved Value</x:v>
      </x:c>
      <x:c r="F31" s="377" t="str">
        <x:v>Pending Exposure</x:v>
      </x:c>
      <x:c r="G31" s="377" t="str">
        <x:v>Avg Approval</x:v>
      </x:c>
      <x:c r="P31" t="str">
        <x:v>Change Category</x:v>
      </x:c>
      <x:c r="Q31" t="str">
        <x:v>Approved Value</x:v>
      </x:c>
      <x:c r="R31" t="str">
        <x:v>Pending Exposure</x:v>
      </x:c>
    </x:row>
    <x:row r="32" ht="18" customHeight="1">
      <x:c r="A32" t="str">
        <x:f>Data_Change!A2</x:f>
        <x:v>Owner-Directed Change</x:v>
      </x:c>
      <x:c r="B32" t="n">
        <x:f>Data_Change!B2</x:f>
        <x:v>198</x:v>
      </x:c>
      <x:c r="C32" t="n">
        <x:f>Data_Change!C2</x:f>
        <x:v>126</x:v>
      </x:c>
      <x:c r="D32" t="n">
        <x:f>Data_Change!D2</x:f>
        <x:v>41</x:v>
      </x:c>
      <x:c r="E32" s="338" t="n">
        <x:f>Data_Change!E2</x:f>
        <x:v>44093100</x:v>
      </x:c>
      <x:c r="F32" s="338" t="n">
        <x:f>Data_Change!F2</x:f>
        <x:v>22849000</x:v>
      </x:c>
      <x:c r="G32" t="n">
        <x:f>Data_Change!G2</x:f>
        <x:v>32.33</x:v>
      </x:c>
      <x:c r="P32" t="str">
        <x:f>A32</x:f>
        <x:v>Owner-Directed Change</x:v>
      </x:c>
      <x:c r="Q32" t="n">
        <x:f>E32</x:f>
        <x:v>44093100</x:v>
      </x:c>
      <x:c r="R32" t="n">
        <x:f>F32</x:f>
        <x:v>22849000</x:v>
      </x:c>
    </x:row>
    <x:row r="33" ht="18" customHeight="1">
      <x:c r="A33" t="str">
        <x:f>Data_Change!A3</x:f>
        <x:v>Design Error or Omission</x:v>
      </x:c>
      <x:c r="B33" t="n">
        <x:f>Data_Change!B3</x:f>
        <x:v>197</x:v>
      </x:c>
      <x:c r="C33" t="n">
        <x:f>Data_Change!C3</x:f>
        <x:v>118</x:v>
      </x:c>
      <x:c r="D33" t="n">
        <x:f>Data_Change!D3</x:f>
        <x:v>41</x:v>
      </x:c>
      <x:c r="E33" s="338" t="n">
        <x:f>Data_Change!E3</x:f>
        <x:v>40302400</x:v>
      </x:c>
      <x:c r="F33" s="338" t="n">
        <x:f>Data_Change!F3</x:f>
        <x:v>14907000</x:v>
      </x:c>
      <x:c r="G33" t="n">
        <x:f>Data_Change!G3</x:f>
        <x:v>32.92</x:v>
      </x:c>
      <x:c r="P33" t="str">
        <x:f>A33</x:f>
        <x:v>Design Error or Omission</x:v>
      </x:c>
      <x:c r="Q33" t="n">
        <x:f>E33</x:f>
        <x:v>40302400</x:v>
      </x:c>
      <x:c r="R33" t="n">
        <x:f>F33</x:f>
        <x:v>14907000</x:v>
      </x:c>
    </x:row>
    <x:row r="34" ht="18" customHeight="1">
      <x:c r="A34" t="str">
        <x:f>Data_Change!A4</x:f>
        <x:v>Unforeseen Condition</x:v>
      </x:c>
      <x:c r="B34" t="n">
        <x:f>Data_Change!B4</x:f>
        <x:v>168</x:v>
      </x:c>
      <x:c r="C34" t="n">
        <x:f>Data_Change!C4</x:f>
        <x:v>108</x:v>
      </x:c>
      <x:c r="D34" t="n">
        <x:f>Data_Change!D4</x:f>
        <x:v>29</x:v>
      </x:c>
      <x:c r="E34" s="338" t="n">
        <x:f>Data_Change!E4</x:f>
        <x:v>39882000</x:v>
      </x:c>
      <x:c r="F34" s="338" t="n">
        <x:f>Data_Change!F4</x:f>
        <x:v>17020000</x:v>
      </x:c>
      <x:c r="G34" t="n">
        <x:f>Data_Change!G4</x:f>
        <x:v>28.41</x:v>
      </x:c>
      <x:c r="P34" t="str">
        <x:f>A34</x:f>
        <x:v>Unforeseen Condition</x:v>
      </x:c>
      <x:c r="Q34" t="n">
        <x:f>E34</x:f>
        <x:v>39882000</x:v>
      </x:c>
      <x:c r="R34" t="n">
        <x:f>F34</x:f>
        <x:v>17020000</x:v>
      </x:c>
    </x:row>
    <x:row r="35" ht="18" customHeight="1">
      <x:c r="A35" t="str">
        <x:f>Data_Change!A5</x:f>
        <x:v>Code or Regulatory Requirement</x:v>
      </x:c>
      <x:c r="B35" t="n">
        <x:f>Data_Change!B5</x:f>
        <x:v>78</x:v>
      </x:c>
      <x:c r="C35" t="n">
        <x:f>Data_Change!C5</x:f>
        <x:v>54</x:v>
      </x:c>
      <x:c r="D35" t="n">
        <x:f>Data_Change!D5</x:f>
        <x:v>10</x:v>
      </x:c>
      <x:c r="E35" s="338" t="n">
        <x:f>Data_Change!E5</x:f>
        <x:v>16442100</x:v>
      </x:c>
      <x:c r="F35" s="338" t="n">
        <x:f>Data_Change!F5</x:f>
        <x:v>6094000</x:v>
      </x:c>
      <x:c r="G35" t="n">
        <x:f>Data_Change!G5</x:f>
        <x:v>31.96</x:v>
      </x:c>
      <x:c r="P35" t="str">
        <x:f>A35</x:f>
        <x:v>Code or Regulatory Requirement</x:v>
      </x:c>
      <x:c r="Q35" t="n">
        <x:f>E35</x:f>
        <x:v>16442100</x:v>
      </x:c>
      <x:c r="R35" t="n">
        <x:f>F35</x:f>
        <x:v>6094000</x:v>
      </x:c>
    </x:row>
    <x:row r="36" ht="18" customHeight="1">
      <x:c r="A36" t="str">
        <x:f>Data_Change!A6</x:f>
        <x:v>Substitution</x:v>
      </x:c>
      <x:c r="B36" t="n">
        <x:f>Data_Change!B6</x:f>
        <x:v>94</x:v>
      </x:c>
      <x:c r="C36" t="n">
        <x:f>Data_Change!C6</x:f>
        <x:v>60</x:v>
      </x:c>
      <x:c r="D36" t="n">
        <x:f>Data_Change!D6</x:f>
        <x:v>22</x:v>
      </x:c>
      <x:c r="E36" s="338" t="n">
        <x:f>Data_Change!E6</x:f>
        <x:v>14284000</x:v>
      </x:c>
      <x:c r="F36" s="338" t="n">
        <x:f>Data_Change!F6</x:f>
        <x:v>6963000</x:v>
      </x:c>
      <x:c r="G36" t="n">
        <x:f>Data_Change!G6</x:f>
        <x:v>25.77</x:v>
      </x:c>
      <x:c r="P36" t="str">
        <x:f>A36</x:f>
        <x:v>Substitution</x:v>
      </x:c>
      <x:c r="Q36" t="n">
        <x:f>E36</x:f>
        <x:v>14284000</x:v>
      </x:c>
      <x:c r="R36" t="n">
        <x:f>F36</x:f>
        <x:v>6963000</x:v>
      </x:c>
    </x:row>
    <x:row r="37" ht="18" customHeight="1">
      <x:c r="A37" t="str">
        <x:f>Data_Change!A7</x:f>
        <x:v>Value Engineering</x:v>
      </x:c>
      <x:c r="B37" t="n">
        <x:f>Data_Change!B7</x:f>
        <x:v>93</x:v>
      </x:c>
      <x:c r="C37" t="n">
        <x:f>Data_Change!C7</x:f>
        <x:v>62</x:v>
      </x:c>
      <x:c r="D37" t="n">
        <x:f>Data_Change!D7</x:f>
        <x:v>19</x:v>
      </x:c>
      <x:c r="E37" s="338" t="n">
        <x:f>Data_Change!E7</x:f>
        <x:v>13922100</x:v>
      </x:c>
      <x:c r="F37" s="338" t="n">
        <x:f>Data_Change!F7</x:f>
        <x:v>5604000</x:v>
      </x:c>
      <x:c r="G37" t="n">
        <x:f>Data_Change!G7</x:f>
        <x:v>24.6</x:v>
      </x:c>
      <x:c r="P37" t="str">
        <x:f>A37</x:f>
        <x:v>Value Engineering</x:v>
      </x:c>
      <x:c r="Q37" t="n">
        <x:f>E37</x:f>
        <x:v>13922100</x:v>
      </x:c>
      <x:c r="R37" t="n">
        <x:f>F37</x:f>
        <x:v>5604000</x:v>
      </x:c>
    </x:row>
    <x:row r="38" ht="18" customHeight="1">
      <x:c r="A38" t="str">
        <x:f>Data_Change!A8</x:f>
        <x:v>Schedule Acceleration</x:v>
      </x:c>
      <x:c r="B38" t="n">
        <x:f>Data_Change!B8</x:f>
        <x:v>78</x:v>
      </x:c>
      <x:c r="C38" t="n">
        <x:f>Data_Change!C8</x:f>
        <x:v>49</x:v>
      </x:c>
      <x:c r="D38" t="n">
        <x:f>Data_Change!D8</x:f>
        <x:v>15</x:v>
      </x:c>
      <x:c r="E38" s="338" t="n">
        <x:f>Data_Change!E8</x:f>
        <x:v>13904000</x:v>
      </x:c>
      <x:c r="F38" s="338" t="n">
        <x:f>Data_Change!F8</x:f>
        <x:v>2254000</x:v>
      </x:c>
      <x:c r="G38" t="n">
        <x:f>Data_Change!G8</x:f>
        <x:v>30.04</x:v>
      </x:c>
      <x:c r="P38" t="str">
        <x:f>A38</x:f>
        <x:v>Schedule Acceleration</x:v>
      </x:c>
      <x:c r="Q38" t="n">
        <x:f>E38</x:f>
        <x:v>13904000</x:v>
      </x:c>
      <x:c r="R38" t="n">
        <x:f>F38</x:f>
        <x:v>2254000</x:v>
      </x:c>
    </x:row>
    <x:row r="39" ht="18" customHeight="1">
      <x:c r="A39" t="str">
        <x:f>Data_Change!A9</x:f>
        <x:v>Quantity Variation</x:v>
      </x:c>
      <x:c r="B39" t="n">
        <x:f>Data_Change!B9</x:f>
        <x:v>106</x:v>
      </x:c>
      <x:c r="C39" t="n">
        <x:f>Data_Change!C9</x:f>
        <x:v>65</x:v>
      </x:c>
      <x:c r="D39" t="n">
        <x:f>Data_Change!D9</x:f>
        <x:v>19</x:v>
      </x:c>
      <x:c r="E39" s="338" t="n">
        <x:f>Data_Change!E9</x:f>
        <x:v>11806400</x:v>
      </x:c>
      <x:c r="F39" s="338" t="n">
        <x:f>Data_Change!F9</x:f>
        <x:v>6831000</x:v>
      </x:c>
      <x:c r="G39" t="n">
        <x:f>Data_Change!G9</x:f>
        <x:v>23.74</x:v>
      </x:c>
      <x:c r="P39" t="str">
        <x:f>A39</x:f>
        <x:v>Quantity Variation</x:v>
      </x:c>
      <x:c r="Q39" t="n">
        <x:f>E39</x:f>
        <x:v>11806400</x:v>
      </x:c>
      <x:c r="R39" t="n">
        <x:f>F39</x:f>
        <x:v>6831000</x:v>
      </x:c>
    </x:row>
    <x:row r="40" ht="18" customHeight="1">
      <x:c r="A40" t="str">
        <x:f>Data_Change!A10</x:f>
        <x:v>Scope Clarification</x:v>
      </x:c>
      <x:c r="B40" t="n">
        <x:f>Data_Change!B10</x:f>
        <x:v>107</x:v>
      </x:c>
      <x:c r="C40" t="n">
        <x:f>Data_Change!C10</x:f>
        <x:v>64</x:v>
      </x:c>
      <x:c r="D40" t="n">
        <x:f>Data_Change!D10</x:f>
        <x:v>25</x:v>
      </x:c>
      <x:c r="E40" s="338" t="n">
        <x:f>Data_Change!E10</x:f>
        <x:v>9932200</x:v>
      </x:c>
      <x:c r="F40" s="338" t="n">
        <x:f>Data_Change!F10</x:f>
        <x:v>5582000</x:v>
      </x:c>
      <x:c r="G40" t="n">
        <x:f>Data_Change!G10</x:f>
        <x:v>24.53</x:v>
      </x:c>
      <x:c r="P40" t="str">
        <x:f>A40</x:f>
        <x:v>Scope Clarification</x:v>
      </x:c>
      <x:c r="Q40" t="n">
        <x:f>E40</x:f>
        <x:v>9932200</x:v>
      </x:c>
      <x:c r="R40" t="n">
        <x:f>F40</x:f>
        <x:v>5582000</x:v>
      </x:c>
    </x:row>
    <x:row r="44">
      <x:c r="A44" s="381" t="str">
        <x:v>Operational interpretation: response-time and approval-cycle performance should be reviewed together. The strongest project-level relationship indicates that decision and coordination conditions affect both workflows.</x:v>
      </x:c>
      <x:c r="B44" s="381"/>
      <x:c r="C44" s="381"/>
      <x:c r="D44" s="381"/>
      <x:c r="E44" s="381"/>
      <x:c r="F44" s="381"/>
      <x:c r="G44" s="381"/>
    </x:row>
    <x:row r="45">
      <x:c r="A45" s="381"/>
      <x:c r="B45" s="381"/>
      <x:c r="C45" s="381"/>
      <x:c r="D45" s="381"/>
      <x:c r="E45" s="381"/>
      <x:c r="F45" s="381"/>
      <x:c r="G45" s="381"/>
    </x:row>
    <x:row r="46">
      <x:c r="A46" s="381"/>
      <x:c r="B46" s="381"/>
      <x:c r="C46" s="381"/>
      <x:c r="D46" s="381"/>
      <x:c r="E46" s="381"/>
      <x:c r="F46" s="381"/>
      <x:c r="G46" s="381"/>
    </x:row>
    <x:row r="47">
      <x:c r="A47" s="381"/>
      <x:c r="B47" s="381"/>
      <x:c r="C47" s="381"/>
      <x:c r="D47" s="381"/>
      <x:c r="E47" s="381"/>
      <x:c r="F47" s="381"/>
      <x:c r="G47" s="381"/>
    </x:row>
    <x:row r="48">
      <x:c r="A48" s="381"/>
      <x:c r="B48" s="381"/>
      <x:c r="C48" s="381"/>
      <x:c r="D48" s="381"/>
      <x:c r="E48" s="381"/>
      <x:c r="F48" s="381"/>
      <x:c r="G48" s="381"/>
    </x:row>
  </x:sheetData>
  <x:mergeCells>
    <x:mergeCell ref="A44:G48"/>
    <x:mergeCell ref="A1:N1"/>
    <x:mergeCell ref="A2:N3"/>
  </x:mergeCells>
  <x:conditionalFormatting sqref="C6:C15">
    <x:cfRule type="dataBar" priority="1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{BEBE7503-2FA3-3D19-3242-088DBFCD6FDA}</x14:id>
        </x:ext>
      </x:extLst>
    </x:cfRule>
    <x:cfRule type="dataBar" priority="3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{19E56C42-F083-48E1-BF44-FAF4227636D9}</x14:id>
        </x:ext>
      </x:extLst>
    </x:cfRule>
  </x:conditionalFormatting>
  <x:conditionalFormatting sqref="O6:O17">
    <x:cfRule type="dataBar" priority="2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{A29E0C0F-271B-7D9F-EA64-0ADACAEEC1E9}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1af798292e9a41b6"/>
  <x:tableParts count="3">
    <x:tablePart xmlns:r="http://schemas.openxmlformats.org/officeDocument/2006/relationships" r:id="R68ed1b4874544021"/>
    <x:tablePart xmlns:r="http://schemas.openxmlformats.org/officeDocument/2006/relationships" r:id="Rbfab483bdd6041fd"/>
    <x:tablePart xmlns:r="http://schemas.openxmlformats.org/officeDocument/2006/relationships" r:id="R7a2333daf0aa4e4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EBE7503-2FA3-3D19-3242-088DBFCD6FDA}">
            <x14:dataBar gradient="1">
              <x14:cfvo type="min"/>
              <x14:cfvo type="max"/>
              <x14:fillColor rgb="FF1EA7C5"/>
            </x14:dataBar>
          </x14:cfRule>
          <x14:cfRule type="dataBar" priority="3" id="{19E56C42-F083-48E1-BF44-FAF4227636D9}">
            <x14:dataBar gradient="1">
              <x14:cfvo type="min"/>
              <x14:cfvo type="max"/>
              <x14:fillColor rgb="FF1EA7C5"/>
            </x14:dataBar>
          </x14:cfRule>
          <xm:sqref>C6:C15</xm:sqref>
        </x14:conditionalFormatting>
        <x14:conditionalFormatting>
          <x14:cfRule type="dataBar" priority="2" id="{A29E0C0F-271B-7D9F-EA64-0ADACAEEC1E9}">
            <x14:dataBar gradient="1">
              <x14:cfvo type="min"/>
              <x14:cfvo type="max"/>
              <x14:fillColor rgb="FF1EA7C5"/>
            </x14:dataBar>
          </x14:cfRule>
          <xm:sqref>O6:O17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31" hidden="0" customWidth="1"/>
    <x:col min="4" max="4" width="13" hidden="0" customWidth="1"/>
    <x:col min="5" max="5" width="12" hidden="0" customWidth="1"/>
    <x:col min="6" max="6" width="15" hidden="0" customWidth="1"/>
    <x:col min="7" max="7" width="17" hidden="0" customWidth="1"/>
    <x:col min="8" max="8" width="16" hidden="0" customWidth="1"/>
    <x:col min="9" max="9" width="17" hidden="0" customWidth="1"/>
    <x:col min="10" max="10" width="16" hidden="0" customWidth="1"/>
    <x:col min="11" max="11" width="18" hidden="0" customWidth="1"/>
  </x:cols>
  <x:sheetData>
    <x:row r="1" ht="34" customHeight="1">
      <x:c r="A1" s="15" t="str">
        <x:v>Top 10 Project Workflow Priorities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>
      <x:c r="A2" s="23" t="str">
        <x:v>Management-priority list based on transparent cumulative triggers. Review project context before assigning corrective action.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5">
      <x:c r="A5" s="6" t="str">
        <x:v>Rank</x:v>
      </x:c>
      <x:c r="B5" s="6" t="str">
        <x:v>Project ID</x:v>
      </x:c>
      <x:c r="C5" s="6" t="str">
        <x:v>Project Name</x:v>
      </x:c>
      <x:c r="D5" s="6" t="str">
        <x:v>Risk Score</x:v>
      </x:c>
      <x:c r="E5" s="6" t="str">
        <x:v>Health</x:v>
      </x:c>
      <x:c r="F5" s="6" t="str">
        <x:v>Avg RFI Days</x:v>
      </x:c>
      <x:c r="G5" s="6" t="str">
        <x:v>Avg Approval Days</x:v>
      </x:c>
      <x:c r="H5" s="6" t="str">
        <x:v>Pending / Budget</x:v>
      </x:c>
      <x:c r="I5" s="6" t="str">
        <x:v>Overdue Open Rate</x:v>
      </x:c>
      <x:c r="J5" s="6" t="str">
        <x:v>RFI-to-Change</x:v>
      </x:c>
      <x:c r="K5" s="6" t="str">
        <x:v>Pending Exposure</x:v>
      </x:c>
    </x:row>
    <x:row r="6">
      <x:c r="A6" t="n">
        <x:f>1</x:f>
        <x:v>1</x:v>
      </x:c>
      <x:c r="B6" t="str">
        <x:f>Data_Top10!A2</x:f>
        <x:v>PRJ-006</x:v>
      </x:c>
      <x:c r="C6" t="str">
        <x:f>Data_Top10!B2</x:f>
        <x:v>Summit Corporate Center</x:v>
      </x:c>
      <x:c r="D6" t="n">
        <x:f>Data_Top10!C2</x:f>
        <x:v>10</x:v>
      </x:c>
      <x:c r="E6" t="str">
        <x:f>Data_Top10!D2</x:f>
        <x:v>Red</x:v>
      </x:c>
      <x:c r="F6" t="n">
        <x:f>Data_Top10!E2</x:f>
        <x:v>11.484848484848484</x:v>
      </x:c>
      <x:c r="G6" t="n">
        <x:f>Data_Top10!F2</x:f>
        <x:v>32.5</x:v>
      </x:c>
      <x:c r="H6" s="366" t="n">
        <x:f>Data_Top10!G2</x:f>
        <x:v>0.02658</x:v>
      </x:c>
      <x:c r="I6" s="366" t="n">
        <x:f>Data_Top10!H2</x:f>
        <x:v>0.175</x:v>
      </x:c>
      <x:c r="J6" s="366" t="n">
        <x:f>Data_Top10!I2</x:f>
        <x:v>0.15</x:v>
      </x:c>
      <x:c r="K6" s="338" t="n">
        <x:f>Data_Top10!J2</x:f>
        <x:v>2836000</x:v>
      </x:c>
    </x:row>
    <x:row r="7">
      <x:c r="A7" t="n">
        <x:f>2</x:f>
        <x:v>2</x:v>
      </x:c>
      <x:c r="B7" t="str">
        <x:f>Data_Top10!A3</x:f>
        <x:v>PRJ-025</x:v>
      </x:c>
      <x:c r="C7" t="str">
        <x:f>Data_Top10!B3</x:f>
        <x:v>Canyon Transit-Oriented Development</x:v>
      </x:c>
      <x:c r="D7" t="n">
        <x:f>Data_Top10!C3</x:f>
        <x:v>9</x:v>
      </x:c>
      <x:c r="E7" t="str">
        <x:f>Data_Top10!D3</x:f>
        <x:v>Red</x:v>
      </x:c>
      <x:c r="F7" t="n">
        <x:f>Data_Top10!E3</x:f>
        <x:v>17.032258064516128</x:v>
      </x:c>
      <x:c r="G7" t="n">
        <x:f>Data_Top10!F3</x:f>
        <x:v>51</x:v>
      </x:c>
      <x:c r="H7" s="366" t="n">
        <x:f>Data_Top10!G3</x:f>
        <x:v>0.029500000000000002</x:v>
      </x:c>
      <x:c r="I7" s="366" t="n">
        <x:f>Data_Top10!H3</x:f>
        <x:v>0.225</x:v>
      </x:c>
      <x:c r="J7" s="366" t="n">
        <x:f>Data_Top10!I3</x:f>
        <x:v>0.15</x:v>
      </x:c>
      <x:c r="K7" s="338" t="n">
        <x:f>Data_Top10!J3</x:f>
        <x:v>1359000</x:v>
      </x:c>
    </x:row>
    <x:row r="8">
      <x:c r="A8" t="n">
        <x:f>3</x:f>
        <x:v>3</x:v>
      </x:c>
      <x:c r="B8" t="str">
        <x:f>Data_Top10!A4</x:f>
        <x:v>PRJ-075</x:v>
      </x:c>
      <x:c r="C8" t="str">
        <x:f>Data_Top10!B4</x:f>
        <x:v>Summit Urban Village</x:v>
      </x:c>
      <x:c r="D8" t="n">
        <x:f>Data_Top10!C4</x:f>
        <x:v>9</x:v>
      </x:c>
      <x:c r="E8" t="str">
        <x:f>Data_Top10!D4</x:f>
        <x:v>Red</x:v>
      </x:c>
      <x:c r="F8" t="n">
        <x:f>Data_Top10!E4</x:f>
        <x:v>18.583333333333332</x:v>
      </x:c>
      <x:c r="G8" t="n">
        <x:f>Data_Top10!F4</x:f>
        <x:v>43.625</x:v>
      </x:c>
      <x:c r="H8" s="366" t="n">
        <x:f>Data_Top10!G4</x:f>
        <x:v>0.01403</x:v>
      </x:c>
      <x:c r="I8" s="366" t="n">
        <x:f>Data_Top10!H4</x:f>
        <x:v>0.1091</x:v>
      </x:c>
      <x:c r="J8" s="366" t="n">
        <x:f>Data_Top10!I4</x:f>
        <x:v>0.2545</x:v>
      </x:c>
      <x:c r="K8" s="338" t="n">
        <x:f>Data_Top10!J4</x:f>
        <x:v>3400000</x:v>
      </x:c>
    </x:row>
    <x:row r="9">
      <x:c r="A9" t="n">
        <x:f>4</x:f>
        <x:v>4</x:v>
      </x:c>
      <x:c r="B9" t="str">
        <x:f>Data_Top10!A5</x:f>
        <x:v>PRJ-051</x:v>
      </x:c>
      <x:c r="C9" t="str">
        <x:f>Data_Top10!B5</x:f>
        <x:v>Evergreen Apartments</x:v>
      </x:c>
      <x:c r="D9" t="n">
        <x:f>Data_Top10!C5</x:f>
        <x:v>9</x:v>
      </x:c>
      <x:c r="E9" t="str">
        <x:f>Data_Top10!D5</x:f>
        <x:v>Red</x:v>
      </x:c>
      <x:c r="F9" t="n">
        <x:f>Data_Top10!E5</x:f>
        <x:v>21.096153846153847</x:v>
      </x:c>
      <x:c r="G9" t="n">
        <x:f>Data_Top10!F5</x:f>
        <x:v>45.857142857142854</x:v>
      </x:c>
      <x:c r="H9" s="366" t="n">
        <x:f>Data_Top10!G5</x:f>
        <x:v>0.005620000000000001</x:v>
      </x:c>
      <x:c r="I9" s="366" t="n">
        <x:f>Data_Top10!H5</x:f>
        <x:v>0.1613</x:v>
      </x:c>
      <x:c r="J9" s="366" t="n">
        <x:f>Data_Top10!I5</x:f>
        <x:v>0.17739999999999997</x:v>
      </x:c>
      <x:c r="K9" s="338" t="n">
        <x:f>Data_Top10!J5</x:f>
        <x:v>763000</x:v>
      </x:c>
    </x:row>
    <x:row r="10">
      <x:c r="A10" t="n">
        <x:f>5</x:f>
        <x:v>5</x:v>
      </x:c>
      <x:c r="B10" t="str">
        <x:f>Data_Top10!A6</x:f>
        <x:v>PRJ-013</x:v>
      </x:c>
      <x:c r="C10" t="str">
        <x:f>Data_Top10!B6</x:f>
        <x:v>Aspen Civic Complex 2</x:v>
      </x:c>
      <x:c r="D10" t="n">
        <x:f>Data_Top10!C6</x:f>
        <x:v>9</x:v>
      </x:c>
      <x:c r="E10" t="str">
        <x:f>Data_Top10!D6</x:f>
        <x:v>Red</x:v>
      </x:c>
      <x:c r="F10" t="n">
        <x:f>Data_Top10!E6</x:f>
        <x:v>10.394736842105264</x:v>
      </x:c>
      <x:c r="G10" t="n">
        <x:f>Data_Top10!F6</x:f>
        <x:v>29.571428571428573</x:v>
      </x:c>
      <x:c r="H10" s="366" t="n">
        <x:f>Data_Top10!G6</x:f>
        <x:v>0.00515</x:v>
      </x:c>
      <x:c r="I10" s="366" t="n">
        <x:f>Data_Top10!H6</x:f>
        <x:v>0.15560000000000002</x:v>
      </x:c>
      <x:c r="J10" s="366" t="n">
        <x:f>Data_Top10!I6</x:f>
        <x:v>0.15560000000000002</x:v>
      </x:c>
      <x:c r="K10" s="338" t="n">
        <x:f>Data_Top10!J6</x:f>
        <x:v>1114000</x:v>
      </x:c>
    </x:row>
    <x:row r="11">
      <x:c r="A11" t="n">
        <x:f>6</x:f>
        <x:v>6</x:v>
      </x:c>
      <x:c r="B11" t="str">
        <x:f>Data_Top10!A7</x:f>
        <x:v>PRJ-016</x:v>
      </x:c>
      <x:c r="C11" t="str">
        <x:f>Data_Top10!B7</x:f>
        <x:v>Evergreen Town Center</x:v>
      </x:c>
      <x:c r="D11" t="n">
        <x:f>Data_Top10!C7</x:f>
        <x:v>8</x:v>
      </x:c>
      <x:c r="E11" t="str">
        <x:f>Data_Top10!D7</x:f>
        <x:v>Red</x:v>
      </x:c>
      <x:c r="F11" t="n">
        <x:f>Data_Top10!E7</x:f>
        <x:v>17.025</x:v>
      </x:c>
      <x:c r="G11" t="n">
        <x:f>Data_Top10!F7</x:f>
        <x:v>35.6</x:v>
      </x:c>
      <x:c r="H11" s="366" t="n">
        <x:f>Data_Top10!G7</x:f>
        <x:v>0.018340000000000002</x:v>
      </x:c>
      <x:c r="I11" s="366" t="n">
        <x:f>Data_Top10!H7</x:f>
        <x:v>0.0698</x:v>
      </x:c>
      <x:c r="J11" s="366" t="n">
        <x:f>Data_Top10!I7</x:f>
        <x:v>0.1628</x:v>
      </x:c>
      <x:c r="K11" s="338" t="n">
        <x:f>Data_Top10!J7</x:f>
        <x:v>3511000</x:v>
      </x:c>
    </x:row>
    <x:row r="12">
      <x:c r="A12" t="n">
        <x:f>7</x:f>
        <x:v>7</x:v>
      </x:c>
      <x:c r="B12" t="str">
        <x:f>Data_Top10!A8</x:f>
        <x:v>PRJ-039</x:v>
      </x:c>
      <x:c r="C12" t="str">
        <x:f>Data_Top10!B8</x:f>
        <x:v>Silver Creek Urban Village 2</x:v>
      </x:c>
      <x:c r="D12" t="n">
        <x:f>Data_Top10!C8</x:f>
        <x:v>8</x:v>
      </x:c>
      <x:c r="E12" t="str">
        <x:f>Data_Top10!D8</x:f>
        <x:v>Red</x:v>
      </x:c>
      <x:c r="F12" t="n">
        <x:f>Data_Top10!E8</x:f>
        <x:v>12.307692307692308</x:v>
      </x:c>
      <x:c r="G12" t="n">
        <x:f>Data_Top10!F8</x:f>
        <x:v>39.333333333333336</x:v>
      </x:c>
      <x:c r="H12" s="366" t="n">
        <x:f>Data_Top10!G8</x:f>
        <x:v>0.01401</x:v>
      </x:c>
      <x:c r="I12" s="366" t="n">
        <x:f>Data_Top10!H8</x:f>
        <x:v>0.025</x:v>
      </x:c>
      <x:c r="J12" s="366" t="n">
        <x:f>Data_Top10!I8</x:f>
        <x:v>0.175</x:v>
      </x:c>
      <x:c r="K12" s="338" t="n">
        <x:f>Data_Top10!J8</x:f>
        <x:v>1124000</x:v>
      </x:c>
    </x:row>
    <x:row r="13">
      <x:c r="A13" t="n">
        <x:f>8</x:f>
        <x:v>8</x:v>
      </x:c>
      <x:c r="B13" t="str">
        <x:f>Data_Top10!A9</x:f>
        <x:v>PRJ-019</x:v>
      </x:c>
      <x:c r="C13" t="str">
        <x:f>Data_Top10!B9</x:f>
        <x:v>Pioneer Research Center</x:v>
      </x:c>
      <x:c r="D13" t="n">
        <x:f>Data_Top10!C9</x:f>
        <x:v>8</x:v>
      </x:c>
      <x:c r="E13" t="str">
        <x:f>Data_Top10!D9</x:f>
        <x:v>Red</x:v>
      </x:c>
      <x:c r="F13" t="n">
        <x:f>Data_Top10!E9</x:f>
        <x:v>14.942307692307692</x:v>
      </x:c>
      <x:c r="G13" t="n">
        <x:f>Data_Top10!F9</x:f>
        <x:v>35.8</x:v>
      </x:c>
      <x:c r="H13" s="366" t="n">
        <x:f>Data_Top10!G9</x:f>
        <x:v>0.0126</x:v>
      </x:c>
      <x:c r="I13" s="366" t="n">
        <x:f>Data_Top10!H9</x:f>
        <x:v>0.07139999999999999</x:v>
      </x:c>
      <x:c r="J13" s="366" t="n">
        <x:f>Data_Top10!I9</x:f>
        <x:v>0.1607</x:v>
      </x:c>
      <x:c r="K13" s="338" t="n">
        <x:f>Data_Top10!J9</x:f>
        <x:v>3711000</x:v>
      </x:c>
    </x:row>
    <x:row r="14">
      <x:c r="A14" t="n">
        <x:f>9</x:f>
        <x:v>9</x:v>
      </x:c>
      <x:c r="B14" t="str">
        <x:f>Data_Top10!A10</x:f>
        <x:v>PRJ-017</x:v>
      </x:c>
      <x:c r="C14" t="str">
        <x:f>Data_Top10!B10</x:f>
        <x:v>Mountain Gate Transit Center</x:v>
      </x:c>
      <x:c r="D14" t="n">
        <x:f>Data_Top10!C10</x:f>
        <x:v>8</x:v>
      </x:c>
      <x:c r="E14" t="str">
        <x:f>Data_Top10!D10</x:f>
        <x:v>Red</x:v>
      </x:c>
      <x:c r="F14" t="n">
        <x:f>Data_Top10!E10</x:f>
        <x:v>19.03921568627451</x:v>
      </x:c>
      <x:c r="G14" t="n">
        <x:f>Data_Top10!F10</x:f>
        <x:v>33.2</x:v>
      </x:c>
      <x:c r="H14" s="366" t="n">
        <x:f>Data_Top10!G10</x:f>
        <x:v>0.00831</x:v>
      </x:c>
      <x:c r="I14" s="366" t="n">
        <x:f>Data_Top10!H10</x:f>
        <x:v>0.16390000000000002</x:v>
      </x:c>
      <x:c r="J14" s="366" t="n">
        <x:f>Data_Top10!I10</x:f>
        <x:v>0.18030000000000002</x:v>
      </x:c>
      <x:c r="K14" s="338" t="n">
        <x:f>Data_Top10!J10</x:f>
        <x:v>1146000</x:v>
      </x:c>
    </x:row>
    <x:row r="15">
      <x:c r="A15" t="n">
        <x:f>10</x:f>
        <x:v>10</x:v>
      </x:c>
      <x:c r="B15" t="str">
        <x:f>Data_Top10!A11</x:f>
        <x:v>PRJ-021</x:v>
      </x:c>
      <x:c r="C15" t="str">
        <x:f>Data_Top10!B11</x:f>
        <x:v>Desert View Processing Plant</x:v>
      </x:c>
      <x:c r="D15" t="n">
        <x:f>Data_Top10!C11</x:f>
        <x:v>8</x:v>
      </x:c>
      <x:c r="E15" t="str">
        <x:f>Data_Top10!D11</x:f>
        <x:v>Red</x:v>
      </x:c>
      <x:c r="F15" t="n">
        <x:f>Data_Top10!E11</x:f>
        <x:v>18</x:v>
      </x:c>
      <x:c r="G15" t="n">
        <x:f>Data_Top10!F11</x:f>
        <x:v>36.45454545454545</x:v>
      </x:c>
      <x:c r="H15" s="366" t="n">
        <x:f>Data_Top10!G11</x:f>
        <x:v>0.00172</x:v>
      </x:c>
      <x:c r="I15" s="366" t="n">
        <x:f>Data_Top10!H11</x:f>
        <x:v>0.0294</x:v>
      </x:c>
      <x:c r="J15" s="366" t="n">
        <x:f>Data_Top10!I11</x:f>
        <x:v>0.2059</x:v>
      </x:c>
      <x:c r="K15" s="338" t="n">
        <x:f>Data_Top10!J11</x:f>
        <x:v>181000</x:v>
      </x:c>
    </x:row>
    <x:row r="18">
      <x:c r="A18" s="23" t="str">
        <x:v>Recommended review sequence: validate backlog and owner decisions; resolve High/Critical overdue RFIs; assign owners and due dates to old pending changes; incorporate approved changes into forecasts; then address repeated revision loops.</x:v>
      </x:c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</x:row>
  </x:sheetData>
  <x:mergeCells>
    <x:mergeCell ref="A1:K1"/>
    <x:mergeCell ref="A2:K3"/>
    <x:mergeCell ref="A18:K20"/>
  </x:mergeCells>
  <x:conditionalFormatting sqref="E6:E15">
    <x:cfRule type="expression" dxfId="1" priority="1">
      <x:formula>E6="Red"</x:formula>
    </x:cfRule>
  </x:conditionalFormatting>
  <x:conditionalFormatting sqref="D6:D15">
    <x:cfRule type="dataBar" priority="2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{7ADEAF19-6B29-8E46-535D-FBDEA122BFDD}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e1de255eacf431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ADEAF19-6B29-8E46-535D-FBDEA122BFDD}">
            <x14:dataBar gradient="1">
              <x14:cfvo type="min"/>
              <x14:cfvo type="max"/>
              <x14:fillColor rgb="FF1EA7C5"/>
            </x14:dataBar>
          </x14:cfRule>
          <xm:sqref>D6:D15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95" hidden="0" customWidth="1"/>
    <x:col min="4" max="4" width="42" hidden="0" customWidth="1"/>
  </x:cols>
  <x:sheetData>
    <x:row r="1" ht="34" customHeight="1">
      <x:c r="A1" s="15" t="str">
        <x:v>Sources, Methodology, and Disclosure</x:v>
      </x:c>
      <x:c r="B1" s="15"/>
      <x:c r="C1" s="15"/>
      <x:c r="D1" s="15"/>
    </x:row>
    <x:row r="2">
      <x:c r="A2" s="23" t="str">
        <x:v>Project source files, lifecycle terminology references, and public-use disclosure.</x:v>
      </x:c>
      <x:c r="B2" s="23"/>
      <x:c r="C2" s="23"/>
      <x:c r="D2" s="23"/>
    </x:row>
    <x:row r="3">
      <x:c r="A3" s="23"/>
      <x:c r="B3" s="23"/>
      <x:c r="C3" s="23"/>
      <x:c r="D3" s="23"/>
    </x:row>
    <x:row r="5">
      <x:c r="A5" s="6" t="str">
        <x:v>Source Type</x:v>
      </x:c>
      <x:c r="B5" s="6" t="str">
        <x:v>Source</x:v>
      </x:c>
      <x:c r="C5" s="6" t="str">
        <x:v>Location / URL</x:v>
      </x:c>
      <x:c r="D5" s="6" t="str">
        <x:v>Use</x:v>
      </x:c>
    </x:row>
    <x:row r="6">
      <x:c r="A6" t="str">
        <x:v>Project data</x:v>
      </x:c>
      <x:c r="B6" t="str">
        <x:v>Validated SQLite database</x:v>
      </x:c>
      <x:c r="C6" t="str">
        <x:v>data/processed/construction_change_order_rfi_analytics.sqlite</x:v>
      </x:c>
      <x:c r="D6" t="str">
        <x:v>Primary analytical source</x:v>
      </x:c>
    </x:row>
    <x:row r="7">
      <x:c r="A7" t="str">
        <x:v>Project data</x:v>
      </x:c>
      <x:c r="B7" t="str">
        <x:v>Analysis tables</x:v>
      </x:c>
      <x:c r="C7" t="str">
        <x:v>analysis/tables/*.csv</x:v>
      </x:c>
      <x:c r="D7" t="str">
        <x:v>Dashboard inputs</x:v>
      </x:c>
    </x:row>
    <x:row r="8">
      <x:c r="A8" t="str">
        <x:v>Methodology</x:v>
      </x:c>
      <x:c r="B8" t="str">
        <x:v>IBM CRISP-DM overview</x:v>
      </x:c>
      <x:c r="C8" t="str">
        <x:v>https://www.ibm.com/docs/en/spss-modeler/18.6.0?topic=dm-crisp-help-overview</x:v>
      </x:c>
      <x:c r="D8" t="str">
        <x:v>Lifecycle terminology</x:v>
      </x:c>
    </x:row>
    <x:row r="9">
      <x:c r="A9" t="str">
        <x:v>Methodology</x:v>
      </x:c>
      <x:c r="B9" t="str">
        <x:v>ASQ DMAIC</x:v>
      </x:c>
      <x:c r="C9" t="str">
        <x:v>https://asq.org/quality-resources/dmaic</x:v>
      </x:c>
      <x:c r="D9" t="str">
        <x:v>Process-improvement terminology</x:v>
      </x:c>
    </x:row>
    <x:row r="10">
      <x:c r="A10" t="str">
        <x:v>Methodology</x:v>
      </x:c>
      <x:c r="B10" t="str">
        <x:v>Microsoft Data Science Lifecycle</x:v>
      </x:c>
      <x:c r="C10" t="str">
        <x:v>https://learn.microsoft.com/en-us/shows/dev-intro-to-data-science/what-is-the-data-science-lifecycle-2-of-28</x:v>
      </x:c>
      <x:c r="D10" t="str">
        <x:v>Modeling terminology</x:v>
      </x:c>
    </x:row>
    <x:row r="11">
      <x:c r="A11" t="str">
        <x:v>Methodology</x:v>
      </x:c>
      <x:c r="B11" t="str">
        <x:v>PMI Process Groups</x:v>
      </x:c>
      <x:c r="C11" t="str">
        <x:v>https://www.pmi.org/standards/process-groups</x:v>
      </x:c>
      <x:c r="D11" t="str">
        <x:v>Project-governance terminology</x:v>
      </x:c>
    </x:row>
    <x:row r="15">
      <x:c r="A15" s="23" t="str">
        <x:v>Synthetic-data disclosure: All project names, organizations, people, budgets, schedules, changes, RFIs, and performance records are fictional and were created for education, portfolio demonstration, and analytical-methodology development. They do not represent actual In Project LLC clients or confidential construction records.</x:v>
      </x:c>
      <x:c r="B15" s="23"/>
      <x:c r="C15" s="23"/>
      <x:c r="D15" s="23"/>
    </x:row>
    <x:row r="16">
      <x:c r="A16" s="23"/>
      <x:c r="B16" s="23"/>
      <x:c r="C16" s="23"/>
      <x:c r="D16" s="23"/>
    </x:row>
    <x:row r="17">
      <x:c r="A17" s="23"/>
      <x:c r="B17" s="23"/>
      <x:c r="C17" s="23"/>
      <x:c r="D17" s="23"/>
    </x:row>
    <x:row r="18">
      <x:c r="A18" s="23"/>
      <x:c r="B18" s="23"/>
      <x:c r="C18" s="23"/>
      <x:c r="D18" s="23"/>
    </x:row>
    <x:row r="19">
      <x:c r="A19" s="23"/>
      <x:c r="B19" s="23"/>
      <x:c r="C19" s="23"/>
      <x:c r="D19" s="23"/>
    </x:row>
  </x:sheetData>
  <x:mergeCells>
    <x:mergeCell ref="A1:D1"/>
    <x:mergeCell ref="A2:D3"/>
    <x:mergeCell ref="A15:D19"/>
  </x:mergeCells>
  <x:pageMargins left="0.7" right="0.7" top="0.75" bottom="0.75" header="0.3" footer="0.3"/>
  <x:tableParts count="1">
    <x:tablePart xmlns:r="http://schemas.openxmlformats.org/officeDocument/2006/relationships" r:id="R61a37116f84f43a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" hidden="0" customWidth="1"/>
    <x:col min="17" max="17" width="2" hidden="0" customWidth="1"/>
    <x:col min="18" max="18" width="16" hidden="0" customWidth="1"/>
  </x:cols>
  <x:sheetData>
    <x:row r="1" ht="34" customHeight="1">
      <x:c r="A1" s="392" t="str">
        <x:v>Workflow Bottlenecks and Operating Segments</x:v>
      </x:c>
      <x:c r="B1" s="392"/>
      <x:c r="C1" s="392"/>
      <x:c r="D1" s="392"/>
      <x:c r="E1" s="392"/>
      <x:c r="F1" s="392"/>
      <x:c r="G1" s="392"/>
      <x:c r="H1" s="392"/>
      <x:c r="I1" s="392"/>
      <x:c r="J1" s="392"/>
      <x:c r="K1" s="392"/>
      <x:c r="L1" s="392"/>
      <x:c r="M1" s="392"/>
      <x:c r="N1" s="392"/>
      <x:c r="O1" s="384"/>
      <x:c r="P1" s="384"/>
      <x:c r="Q1" s="384"/>
      <x:c r="R1" s="384"/>
    </x:row>
    <x:row r="2">
      <x:c r="A2" s="391" t="str">
        <x:v>Stage-duration, handoff, revision-loop, owner-decision, and digital-coordination analysis.</x:v>
      </x:c>
      <x:c r="B2" s="391"/>
      <x:c r="C2" s="391"/>
      <x:c r="D2" s="391"/>
      <x:c r="E2" s="391"/>
      <x:c r="F2" s="391"/>
      <x:c r="G2" s="391"/>
      <x:c r="H2" s="391"/>
      <x:c r="I2" s="391"/>
      <x:c r="J2" s="391"/>
      <x:c r="K2" s="391"/>
      <x:c r="L2" s="391"/>
      <x:c r="M2" s="391"/>
      <x:c r="N2" s="391"/>
      <x:c r="O2" s="381"/>
      <x:c r="P2" s="381"/>
      <x:c r="Q2" s="381"/>
      <x:c r="R2" s="381"/>
    </x:row>
    <x:row r="3">
      <x:c r="A3" s="391"/>
      <x:c r="B3" s="391"/>
      <x:c r="C3" s="391"/>
      <x:c r="D3" s="391"/>
      <x:c r="E3" s="391"/>
      <x:c r="F3" s="391"/>
      <x:c r="G3" s="391"/>
      <x:c r="H3" s="391"/>
      <x:c r="I3" s="391"/>
      <x:c r="J3" s="391"/>
      <x:c r="K3" s="391"/>
      <x:c r="L3" s="391"/>
      <x:c r="M3" s="391"/>
      <x:c r="N3" s="391"/>
      <x:c r="O3" s="381"/>
      <x:c r="P3" s="381"/>
      <x:c r="Q3" s="381"/>
      <x:c r="R3" s="381"/>
    </x:row>
    <x:row r="5">
      <x:c r="A5" s="377" t="str">
        <x:v>Item Type</x:v>
      </x:c>
      <x:c r="B5" s="377" t="str">
        <x:v>Status</x:v>
      </x:c>
      <x:c r="C5" s="377" t="str">
        <x:v>Assigned Role</x:v>
      </x:c>
      <x:c r="D5" s="377" t="str">
        <x:v>Events</x:v>
      </x:c>
      <x:c r="E5" s="377" t="str">
        <x:v>Avg Stage Days</x:v>
      </x:c>
      <x:c r="F5" s="377" t="str">
        <x:v>Total Stage Days</x:v>
      </x:c>
      <x:c r="G5" s="377" t="str">
        <x:v>Handoffs</x:v>
      </x:c>
      <x:c r="H5" s="377" t="str">
        <x:v>Revision Loops</x:v>
      </x:c>
      <x:c r="P5" t="str">
        <x:v>Stage</x:v>
      </x:c>
      <x:c r="Q5" t="str">
        <x:v>Total Stage Days</x:v>
      </x:c>
    </x:row>
    <x:row r="6">
      <x:c r="A6" t="str">
        <x:f>Data_Workflow!A2</x:f>
        <x:v>Change Order</x:v>
      </x:c>
      <x:c r="B6" t="str">
        <x:f>Data_Workflow!B2</x:f>
        <x:v>Approved</x:v>
      </x:c>
      <x:c r="C6" t="str">
        <x:f>Data_Workflow!C2</x:f>
        <x:v>Project Manager</x:v>
      </x:c>
      <x:c r="D6" t="n">
        <x:f>Data_Workflow!D2</x:f>
        <x:v>706</x:v>
      </x:c>
      <x:c r="E6" t="n">
        <x:f>Data_Workflow!E2</x:f>
        <x:v>20.31</x:v>
      </x:c>
      <x:c r="F6" t="n">
        <x:f>Data_Workflow!F2</x:f>
        <x:v>14335.35</x:v>
      </x:c>
      <x:c r="G6" t="n">
        <x:f>Data_Workflow!G2</x:f>
        <x:v>706</x:v>
      </x:c>
      <x:c r="H6" t="n">
        <x:f>Data_Workflow!H2</x:f>
        <x:v>0</x:v>
      </x:c>
      <x:c r="P6" t="str">
        <x:f>B6&amp;" | "&amp;C6</x:f>
        <x:v>Approved | Project Manager</x:v>
      </x:c>
      <x:c r="Q6" t="n">
        <x:f>F6</x:f>
        <x:v>14335.35</x:v>
      </x:c>
    </x:row>
    <x:row r="7">
      <x:c r="A7" t="str">
        <x:f>Data_Workflow!A3</x:f>
        <x:v>RFI</x:v>
      </x:c>
      <x:c r="B7" t="str">
        <x:f>Data_Workflow!B3</x:f>
        <x:v>Closed</x:v>
      </x:c>
      <x:c r="C7" t="str">
        <x:f>Data_Workflow!C3</x:f>
        <x:v>Subcontractor</x:v>
      </x:c>
      <x:c r="D7" t="n">
        <x:f>Data_Workflow!D3</x:f>
        <x:v>948</x:v>
      </x:c>
      <x:c r="E7" t="n">
        <x:f>Data_Workflow!E3</x:f>
        <x:v>9.93</x:v>
      </x:c>
      <x:c r="F7" t="n">
        <x:f>Data_Workflow!F3</x:f>
        <x:v>9411.6</x:v>
      </x:c>
      <x:c r="G7" t="n">
        <x:f>Data_Workflow!G3</x:f>
        <x:v>756</x:v>
      </x:c>
      <x:c r="H7" t="n">
        <x:f>Data_Workflow!H3</x:f>
        <x:v>0</x:v>
      </x:c>
      <x:c r="P7" t="str">
        <x:f>B7&amp;" | "&amp;C7</x:f>
        <x:v>Closed | Subcontractor</x:v>
      </x:c>
      <x:c r="Q7" t="n">
        <x:f>F7</x:f>
        <x:v>9411.6</x:v>
      </x:c>
    </x:row>
    <x:row r="8">
      <x:c r="A8" t="str">
        <x:f>Data_Workflow!A4</x:f>
        <x:v>RFI</x:v>
      </x:c>
      <x:c r="B8" t="str">
        <x:f>Data_Workflow!B4</x:f>
        <x:v>Closed</x:v>
      </x:c>
      <x:c r="C8" t="str">
        <x:f>Data_Workflow!C4</x:f>
        <x:v>General Contractor</x:v>
      </x:c>
      <x:c r="D8" t="n">
        <x:f>Data_Workflow!D4</x:f>
        <x:v>925</x:v>
      </x:c>
      <x:c r="E8" t="n">
        <x:f>Data_Workflow!E4</x:f>
        <x:v>9.57</x:v>
      </x:c>
      <x:c r="F8" t="n">
        <x:f>Data_Workflow!F4</x:f>
        <x:v>8854.16</x:v>
      </x:c>
      <x:c r="G8" t="n">
        <x:f>Data_Workflow!G4</x:f>
        <x:v>696</x:v>
      </x:c>
      <x:c r="H8" t="n">
        <x:f>Data_Workflow!H4</x:f>
        <x:v>0</x:v>
      </x:c>
      <x:c r="P8" t="str">
        <x:f>B8&amp;" | "&amp;C8</x:f>
        <x:v>Closed | General Contractor</x:v>
      </x:c>
      <x:c r="Q8" t="n">
        <x:f>F8</x:f>
        <x:v>8854.16</x:v>
      </x:c>
    </x:row>
    <x:row r="9">
      <x:c r="A9" t="str">
        <x:f>Data_Workflow!A5</x:f>
        <x:v>Change Order</x:v>
      </x:c>
      <x:c r="B9" t="str">
        <x:f>Data_Workflow!B5</x:f>
        <x:v>Returned for Revision</x:v>
      </x:c>
      <x:c r="C9" t="str">
        <x:f>Data_Workflow!C5</x:f>
        <x:v>Cost Manager</x:v>
      </x:c>
      <x:c r="D9" t="n">
        <x:f>Data_Workflow!D5</x:f>
        <x:v>512</x:v>
      </x:c>
      <x:c r="E9" t="n">
        <x:f>Data_Workflow!E5</x:f>
        <x:v>16.7</x:v>
      </x:c>
      <x:c r="F9" t="n">
        <x:f>Data_Workflow!F5</x:f>
        <x:v>8552.62</x:v>
      </x:c>
      <x:c r="G9" t="n">
        <x:f>Data_Workflow!G5</x:f>
        <x:v>511</x:v>
      </x:c>
      <x:c r="H9" t="n">
        <x:f>Data_Workflow!H5</x:f>
        <x:v>512</x:v>
      </x:c>
      <x:c r="P9" t="str">
        <x:f>B9&amp;" | "&amp;C9</x:f>
        <x:v>Returned for Revision | Cost Manager</x:v>
      </x:c>
      <x:c r="Q9" t="n">
        <x:f>F9</x:f>
        <x:v>8552.62</x:v>
      </x:c>
    </x:row>
    <x:row r="10">
      <x:c r="A10" t="str">
        <x:f>Data_Workflow!A6</x:f>
        <x:v>Change Order</x:v>
      </x:c>
      <x:c r="B10" t="str">
        <x:f>Data_Workflow!B6</x:f>
        <x:v>Submitted</x:v>
      </x:c>
      <x:c r="C10" t="str">
        <x:f>Data_Workflow!C6</x:f>
        <x:v>Owner Representative</x:v>
      </x:c>
      <x:c r="D10" t="n">
        <x:f>Data_Workflow!D6</x:f>
        <x:v>1117</x:v>
      </x:c>
      <x:c r="E10" t="n">
        <x:f>Data_Workflow!E6</x:f>
        <x:v>7.03</x:v>
      </x:c>
      <x:c r="F10" t="n">
        <x:f>Data_Workflow!F6</x:f>
        <x:v>7850.68</x:v>
      </x:c>
      <x:c r="G10" t="n">
        <x:f>Data_Workflow!G6</x:f>
        <x:v>1117</x:v>
      </x:c>
      <x:c r="H10" t="n">
        <x:f>Data_Workflow!H6</x:f>
        <x:v>0</x:v>
      </x:c>
      <x:c r="P10" t="str">
        <x:f>B10&amp;" | "&amp;C10</x:f>
        <x:v>Submitted | Owner Representative</x:v>
      </x:c>
      <x:c r="Q10" t="n">
        <x:f>F10</x:f>
        <x:v>7850.68</x:v>
      </x:c>
    </x:row>
    <x:row r="11">
      <x:c r="A11" t="str">
        <x:f>Data_Workflow!A7</x:f>
        <x:v>RFI</x:v>
      </x:c>
      <x:c r="B11" t="str">
        <x:f>Data_Workflow!B7</x:f>
        <x:v>Returned for Clarification</x:v>
      </x:c>
      <x:c r="C11" t="str">
        <x:f>Data_Workflow!C7</x:f>
        <x:v>General Contractor</x:v>
      </x:c>
      <x:c r="D11" t="n">
        <x:f>Data_Workflow!D7</x:f>
        <x:v>344</x:v>
      </x:c>
      <x:c r="E11" t="n">
        <x:f>Data_Workflow!E7</x:f>
        <x:v>11.95</x:v>
      </x:c>
      <x:c r="F11" t="n">
        <x:f>Data_Workflow!F7</x:f>
        <x:v>4109.42</x:v>
      </x:c>
      <x:c r="G11" t="n">
        <x:f>Data_Workflow!G7</x:f>
        <x:v>344</x:v>
      </x:c>
      <x:c r="H11" t="n">
        <x:f>Data_Workflow!H7</x:f>
        <x:v>344</x:v>
      </x:c>
      <x:c r="P11" t="str">
        <x:f>B11&amp;" | "&amp;C11</x:f>
        <x:v>Returned for Clarification | General Contractor</x:v>
      </x:c>
      <x:c r="Q11" t="n">
        <x:f>F11</x:f>
        <x:v>4109.42</x:v>
      </x:c>
    </x:row>
    <x:row r="12">
      <x:c r="A12" t="str">
        <x:f>Data_Workflow!A8</x:f>
        <x:v>RFI</x:v>
      </x:c>
      <x:c r="B12" t="str">
        <x:f>Data_Workflow!B8</x:f>
        <x:v>Returned for Clarification</x:v>
      </x:c>
      <x:c r="C12" t="str">
        <x:f>Data_Workflow!C8</x:f>
        <x:v>Subcontractor</x:v>
      </x:c>
      <x:c r="D12" t="n">
        <x:f>Data_Workflow!D8</x:f>
        <x:v>308</x:v>
      </x:c>
      <x:c r="E12" t="n">
        <x:f>Data_Workflow!E8</x:f>
        <x:v>10.86</x:v>
      </x:c>
      <x:c r="F12" t="n">
        <x:f>Data_Workflow!F8</x:f>
        <x:v>3345.12</x:v>
      </x:c>
      <x:c r="G12" t="n">
        <x:f>Data_Workflow!G8</x:f>
        <x:v>308</x:v>
      </x:c>
      <x:c r="H12" t="n">
        <x:f>Data_Workflow!H8</x:f>
        <x:v>308</x:v>
      </x:c>
      <x:c r="P12" t="str">
        <x:f>B12&amp;" | "&amp;C12</x:f>
        <x:v>Returned for Clarification | Subcontractor</x:v>
      </x:c>
      <x:c r="Q12" t="n">
        <x:f>F12</x:f>
        <x:v>3345.12</x:v>
      </x:c>
    </x:row>
    <x:row r="13">
      <x:c r="A13" t="str">
        <x:f>Data_Workflow!A9</x:f>
        <x:v>RFI</x:v>
      </x:c>
      <x:c r="B13" t="str">
        <x:f>Data_Workflow!B9</x:f>
        <x:v>Answered</x:v>
      </x:c>
      <x:c r="C13" t="str">
        <x:f>Data_Workflow!C9</x:f>
        <x:v>General Contractor</x:v>
      </x:c>
      <x:c r="D13" t="n">
        <x:f>Data_Workflow!D9</x:f>
        <x:v>350</x:v>
      </x:c>
      <x:c r="E13" t="n">
        <x:f>Data_Workflow!E9</x:f>
        <x:v>9.48</x:v>
      </x:c>
      <x:c r="F13" t="n">
        <x:f>Data_Workflow!F9</x:f>
        <x:v>3319.07</x:v>
      </x:c>
      <x:c r="G13" t="n">
        <x:f>Data_Workflow!G9</x:f>
        <x:v>267</x:v>
      </x:c>
      <x:c r="H13" t="n">
        <x:f>Data_Workflow!H9</x:f>
        <x:v>0</x:v>
      </x:c>
      <x:c r="P13" t="str">
        <x:f>B13&amp;" | "&amp;C13</x:f>
        <x:v>Answered | General Contractor</x:v>
      </x:c>
      <x:c r="Q13" t="n">
        <x:f>F13</x:f>
        <x:v>3319.07</x:v>
      </x:c>
    </x:row>
    <x:row r="14">
      <x:c r="A14" t="str">
        <x:f>Data_Workflow!A10</x:f>
        <x:v>Change Order</x:v>
      </x:c>
      <x:c r="B14" t="str">
        <x:f>Data_Workflow!B10</x:f>
        <x:v>Rejected</x:v>
      </x:c>
      <x:c r="C14" t="str">
        <x:f>Data_Workflow!C10</x:f>
        <x:v>Project Manager</x:v>
      </x:c>
      <x:c r="D14" t="n">
        <x:f>Data_Workflow!D10</x:f>
        <x:v>113</x:v>
      </x:c>
      <x:c r="E14" t="n">
        <x:f>Data_Workflow!E10</x:f>
        <x:v>28.89</x:v>
      </x:c>
      <x:c r="F14" t="n">
        <x:f>Data_Workflow!F10</x:f>
        <x:v>3264.7</x:v>
      </x:c>
      <x:c r="G14" t="n">
        <x:f>Data_Workflow!G10</x:f>
        <x:v>113</x:v>
      </x:c>
      <x:c r="H14" t="n">
        <x:f>Data_Workflow!H10</x:f>
        <x:v>0</x:v>
      </x:c>
      <x:c r="P14" t="str">
        <x:f>B14&amp;" | "&amp;C14</x:f>
        <x:v>Rejected | Project Manager</x:v>
      </x:c>
      <x:c r="Q14" t="n">
        <x:f>F14</x:f>
        <x:v>3264.7</x:v>
      </x:c>
    </x:row>
    <x:row r="15">
      <x:c r="A15" t="str">
        <x:f>Data_Workflow!A11</x:f>
        <x:v>RFI</x:v>
      </x:c>
      <x:c r="B15" t="str">
        <x:f>Data_Workflow!B11</x:f>
        <x:v>Answered</x:v>
      </x:c>
      <x:c r="C15" t="str">
        <x:f>Data_Workflow!C11</x:f>
        <x:v>Subcontractor</x:v>
      </x:c>
      <x:c r="D15" t="n">
        <x:f>Data_Workflow!D11</x:f>
        <x:v>337</x:v>
      </x:c>
      <x:c r="E15" t="n">
        <x:f>Data_Workflow!E11</x:f>
        <x:v>9.64</x:v>
      </x:c>
      <x:c r="F15" t="n">
        <x:f>Data_Workflow!F11</x:f>
        <x:v>3247.93</x:v>
      </x:c>
      <x:c r="G15" t="n">
        <x:f>Data_Workflow!G11</x:f>
        <x:v>257</x:v>
      </x:c>
      <x:c r="H15" t="n">
        <x:f>Data_Workflow!H11</x:f>
        <x:v>0</x:v>
      </x:c>
      <x:c r="P15" t="str">
        <x:f>B15&amp;" | "&amp;C15</x:f>
        <x:v>Answered | Subcontractor</x:v>
      </x:c>
      <x:c r="Q15" t="n">
        <x:f>F15</x:f>
        <x:v>3247.93</x:v>
      </x:c>
    </x:row>
    <x:row r="16">
      <x:c r="A16" t="str">
        <x:f>Data_Workflow!A12</x:f>
        <x:v>RFI</x:v>
      </x:c>
      <x:c r="B16" t="str">
        <x:f>Data_Workflow!B12</x:f>
        <x:v>Closed</x:v>
      </x:c>
      <x:c r="C16" t="str">
        <x:f>Data_Workflow!C12</x:f>
        <x:v>Construction Manager</x:v>
      </x:c>
      <x:c r="D16" t="n">
        <x:f>Data_Workflow!D12</x:f>
        <x:v>332</x:v>
      </x:c>
      <x:c r="E16" t="n">
        <x:f>Data_Workflow!E12</x:f>
        <x:v>9.75</x:v>
      </x:c>
      <x:c r="F16" t="n">
        <x:f>Data_Workflow!F12</x:f>
        <x:v>3235.64</x:v>
      </x:c>
      <x:c r="G16" t="n">
        <x:f>Data_Workflow!G12</x:f>
        <x:v>229</x:v>
      </x:c>
      <x:c r="H16" t="n">
        <x:f>Data_Workflow!H12</x:f>
        <x:v>0</x:v>
      </x:c>
    </x:row>
    <x:row r="17">
      <x:c r="A17" t="str">
        <x:f>Data_Workflow!A13</x:f>
        <x:v>Change Order</x:v>
      </x:c>
      <x:c r="B17" t="str">
        <x:f>Data_Workflow!B13</x:f>
        <x:v>Pending</x:v>
      </x:c>
      <x:c r="C17" t="str">
        <x:f>Data_Workflow!C13</x:f>
        <x:v>Project Manager</x:v>
      </x:c>
      <x:c r="D17" t="n">
        <x:f>Data_Workflow!D13</x:f>
        <x:v>220</x:v>
      </x:c>
      <x:c r="E17" t="n">
        <x:f>Data_Workflow!E13</x:f>
        <x:v>14.03</x:v>
      </x:c>
      <x:c r="F17" t="n">
        <x:f>Data_Workflow!F13</x:f>
        <x:v>3086.36</x:v>
      </x:c>
      <x:c r="G17" t="n">
        <x:f>Data_Workflow!G13</x:f>
        <x:v>220</x:v>
      </x:c>
      <x:c r="H17" t="n">
        <x:f>Data_Workflow!H13</x:f>
        <x:v>0</x:v>
      </x:c>
    </x:row>
    <x:row r="18">
      <x:c r="A18" t="str">
        <x:f>Data_Workflow!A14</x:f>
        <x:v>Change Order</x:v>
      </x:c>
      <x:c r="B18" t="str">
        <x:f>Data_Workflow!B14</x:f>
        <x:v>Withdrawn</x:v>
      </x:c>
      <x:c r="C18" t="str">
        <x:f>Data_Workflow!C14</x:f>
        <x:v>Project Manager</x:v>
      </x:c>
      <x:c r="D18" t="n">
        <x:f>Data_Workflow!D14</x:f>
        <x:v>79</x:v>
      </x:c>
      <x:c r="E18" t="n">
        <x:f>Data_Workflow!E14</x:f>
        <x:v>22.33</x:v>
      </x:c>
      <x:c r="F18" t="n">
        <x:f>Data_Workflow!F14</x:f>
        <x:v>1763.96</x:v>
      </x:c>
      <x:c r="G18" t="n">
        <x:f>Data_Workflow!G14</x:f>
        <x:v>79</x:v>
      </x:c>
      <x:c r="H18" t="n">
        <x:f>Data_Workflow!H14</x:f>
        <x:v>0</x:v>
      </x:c>
    </x:row>
    <x:row r="19">
      <x:c r="A19" t="str">
        <x:f>Data_Workflow!A15</x:f>
        <x:v>RFI</x:v>
      </x:c>
      <x:c r="B19" t="str">
        <x:f>Data_Workflow!B15</x:f>
        <x:v>Returned for Clarification</x:v>
      </x:c>
      <x:c r="C19" t="str">
        <x:f>Data_Workflow!C15</x:f>
        <x:v>Construction Manager</x:v>
      </x:c>
      <x:c r="D19" t="n">
        <x:f>Data_Workflow!D15</x:f>
        <x:v>134</x:v>
      </x:c>
      <x:c r="E19" t="n">
        <x:f>Data_Workflow!E15</x:f>
        <x:v>11.01</x:v>
      </x:c>
      <x:c r="F19" t="n">
        <x:f>Data_Workflow!F15</x:f>
        <x:v>1475.78</x:v>
      </x:c>
      <x:c r="G19" t="n">
        <x:f>Data_Workflow!G15</x:f>
        <x:v>119</x:v>
      </x:c>
      <x:c r="H19" t="n">
        <x:f>Data_Workflow!H15</x:f>
        <x:v>134</x:v>
      </x:c>
    </x:row>
    <x:row r="20">
      <x:c r="A20" t="str">
        <x:f>Data_Workflow!A16</x:f>
        <x:v>RFI</x:v>
      </x:c>
      <x:c r="B20" t="str">
        <x:f>Data_Workflow!B16</x:f>
        <x:v>Answered</x:v>
      </x:c>
      <x:c r="C20" t="str">
        <x:f>Data_Workflow!C16</x:f>
        <x:v>Construction Manager</x:v>
      </x:c>
      <x:c r="D20" t="n">
        <x:f>Data_Workflow!D16</x:f>
        <x:v>127</x:v>
      </x:c>
      <x:c r="E20" t="n">
        <x:f>Data_Workflow!E16</x:f>
        <x:v>9.64</x:v>
      </x:c>
      <x:c r="F20" t="n">
        <x:f>Data_Workflow!F16</x:f>
        <x:v>1224.9</x:v>
      </x:c>
      <x:c r="G20" t="n">
        <x:f>Data_Workflow!G16</x:f>
        <x:v>81</x:v>
      </x:c>
      <x:c r="H20" t="n">
        <x:f>Data_Workflow!H16</x:f>
        <x:v>0</x:v>
      </x:c>
    </x:row>
    <x:row r="25">
      <x:c r="A25" s="377" t="str">
        <x:v>Segment Type</x:v>
      </x:c>
      <x:c r="B25" s="377" t="str">
        <x:v>Segment</x:v>
      </x:c>
      <x:c r="C25" s="377" t="str">
        <x:v>RFIs</x:v>
      </x:c>
      <x:c r="D25" s="377" t="str">
        <x:v>Avg RFI Days</x:v>
      </x:c>
      <x:c r="E25" s="377" t="str">
        <x:v>On-Time</x:v>
      </x:c>
      <x:c r="F25" s="377" t="str">
        <x:v>Changes</x:v>
      </x:c>
      <x:c r="G25" s="377" t="str">
        <x:v>Avg Approval</x:v>
      </x:c>
      <x:c r="H25" s="377" t="str">
        <x:v>Pending Exposure</x:v>
      </x:c>
      <x:c r="P25" t="str">
        <x:v>Owner Profile</x:v>
      </x:c>
      <x:c r="Q25" t="str">
        <x:v>Avg Approval</x:v>
      </x:c>
    </x:row>
    <x:row r="26">
      <x:c r="A26" t="str">
        <x:f>Data_Segments!A2</x:f>
        <x:v>Owner Decision Profile</x:v>
      </x:c>
      <x:c r="B26" t="str">
        <x:f>Data_Segments!B2</x:f>
        <x:v>Fast</x:v>
      </x:c>
      <x:c r="C26" t="n">
        <x:f>Data_Segments!C2</x:f>
        <x:v>597</x:v>
      </x:c>
      <x:c r="D26" t="n">
        <x:f>Data_Segments!D2</x:f>
        <x:v>10.4</x:v>
      </x:c>
      <x:c r="E26" s="366" t="n">
        <x:f>Data_Segments!E2</x:f>
        <x:v>0.528</x:v>
      </x:c>
      <x:c r="F26" t="n">
        <x:f>Data_Segments!F2</x:f>
        <x:v>197</x:v>
      </x:c>
      <x:c r="G26" t="n">
        <x:f>Data_Segments!G2</x:f>
        <x:v>24.36</x:v>
      </x:c>
      <x:c r="H26" s="338" t="n">
        <x:f>Data_Segments!H2</x:f>
        <x:v>12516000</x:v>
      </x:c>
      <x:c r="P26" t="str">
        <x:f>B26</x:f>
        <x:v>Fast</x:v>
      </x:c>
      <x:c r="Q26" t="n">
        <x:f>G26</x:f>
        <x:v>24.36</x:v>
      </x:c>
    </x:row>
    <x:row r="27">
      <x:c r="A27" t="str">
        <x:f>Data_Segments!A3</x:f>
        <x:v>Owner Decision Profile</x:v>
      </x:c>
      <x:c r="B27" t="str">
        <x:f>Data_Segments!B3</x:f>
        <x:v>Standard</x:v>
      </x:c>
      <x:c r="C27" t="n">
        <x:f>Data_Segments!C3</x:f>
        <x:v>1905</x:v>
      </x:c>
      <x:c r="D27" t="n">
        <x:f>Data_Segments!D3</x:f>
        <x:v>11.01</x:v>
      </x:c>
      <x:c r="E27" s="366" t="n">
        <x:f>Data_Segments!E3</x:f>
        <x:v>0.515</x:v>
      </x:c>
      <x:c r="F27" t="n">
        <x:f>Data_Segments!F3</x:f>
        <x:v>623</x:v>
      </x:c>
      <x:c r="G27" t="n">
        <x:f>Data_Segments!G3</x:f>
        <x:v>26.01</x:v>
      </x:c>
      <x:c r="H27" s="338" t="n">
        <x:f>Data_Segments!H3</x:f>
        <x:v>52494000</x:v>
      </x:c>
      <x:c r="P27" t="str">
        <x:f>B27</x:f>
        <x:v>Standard</x:v>
      </x:c>
      <x:c r="Q27" t="n">
        <x:f>G27</x:f>
        <x:v>26.01</x:v>
      </x:c>
    </x:row>
    <x:row r="28">
      <x:c r="A28" t="str">
        <x:f>Data_Segments!A4</x:f>
        <x:v>Owner Decision Profile</x:v>
      </x:c>
      <x:c r="B28" t="str">
        <x:f>Data_Segments!B4</x:f>
        <x:v>Slow</x:v>
      </x:c>
      <x:c r="C28" t="n">
        <x:f>Data_Segments!C4</x:f>
        <x:v>816</x:v>
      </x:c>
      <x:c r="D28" t="n">
        <x:f>Data_Segments!D4</x:f>
        <x:v>16.45</x:v>
      </x:c>
      <x:c r="E28" s="366" t="n">
        <x:f>Data_Segments!E4</x:f>
        <x:v>0.263</x:v>
      </x:c>
      <x:c r="F28" t="n">
        <x:f>Data_Segments!F4</x:f>
        <x:v>299</x:v>
      </x:c>
      <x:c r="G28" t="n">
        <x:f>Data_Segments!G4</x:f>
        <x:v>37.98</x:v>
      </x:c>
      <x:c r="H28" s="338" t="n">
        <x:f>Data_Segments!H4</x:f>
        <x:v>23094000</x:v>
      </x:c>
      <x:c r="P28" t="str">
        <x:f>B28</x:f>
        <x:v>Slow</x:v>
      </x:c>
      <x:c r="Q28" t="n">
        <x:f>G28</x:f>
        <x:v>37.98</x:v>
      </x:c>
    </x:row>
    <x:row r="29">
      <x:c r="A29" t="str">
        <x:f>Data_Segments!A5</x:f>
        <x:v>Digital Coordination Level</x:v>
      </x:c>
      <x:c r="B29" t="str">
        <x:f>Data_Segments!B5</x:f>
        <x:v>High</x:v>
      </x:c>
      <x:c r="C29" t="n">
        <x:f>Data_Segments!C5</x:f>
        <x:v>881</x:v>
      </x:c>
      <x:c r="D29" t="n">
        <x:f>Data_Segments!D5</x:f>
        <x:v>9.55</x:v>
      </x:c>
      <x:c r="E29" s="366" t="n">
        <x:f>Data_Segments!E5</x:f>
        <x:v>0.62</x:v>
      </x:c>
      <x:c r="F29" t="n">
        <x:f>Data_Segments!F5</x:f>
        <x:v>304</x:v>
      </x:c>
      <x:c r="G29" t="n">
        <x:f>Data_Segments!G5</x:f>
        <x:v>26.39</x:v>
      </x:c>
      <x:c r="H29" s="338" t="n">
        <x:f>Data_Segments!H5</x:f>
        <x:v>25448200</x:v>
      </x:c>
    </x:row>
    <x:row r="30">
      <x:c r="A30" t="str">
        <x:f>Data_Segments!A6</x:f>
        <x:v>Digital Coordination Level</x:v>
      </x:c>
      <x:c r="B30" t="str">
        <x:f>Data_Segments!B6</x:f>
        <x:v>Moderate</x:v>
      </x:c>
      <x:c r="C30" t="n">
        <x:f>Data_Segments!C6</x:f>
        <x:v>1675</x:v>
      </x:c>
      <x:c r="D30" t="n">
        <x:f>Data_Segments!D6</x:f>
        <x:v>12.63</x:v>
      </x:c>
      <x:c r="E30" s="366" t="n">
        <x:f>Data_Segments!E6</x:f>
        <x:v>0.425</x:v>
      </x:c>
      <x:c r="F30" t="n">
        <x:f>Data_Segments!F6</x:f>
        <x:v>567</x:v>
      </x:c>
      <x:c r="G30" t="n">
        <x:f>Data_Segments!G6</x:f>
        <x:v>30.02</x:v>
      </x:c>
      <x:c r="H30" s="338" t="n">
        <x:f>Data_Segments!H6</x:f>
        <x:v>48307800</x:v>
      </x:c>
    </x:row>
    <x:row r="31">
      <x:c r="A31" t="str">
        <x:f>Data_Segments!A7</x:f>
        <x:v>Digital Coordination Level</x:v>
      </x:c>
      <x:c r="B31" t="str">
        <x:f>Data_Segments!B7</x:f>
        <x:v>Low</x:v>
      </x:c>
      <x:c r="C31" t="n">
        <x:f>Data_Segments!C7</x:f>
        <x:v>762</x:v>
      </x:c>
      <x:c r="D31" t="n">
        <x:f>Data_Segments!D7</x:f>
        <x:v>14.39</x:v>
      </x:c>
      <x:c r="E31" s="366" t="n">
        <x:f>Data_Segments!E7</x:f>
        <x:v>0.336</x:v>
      </x:c>
      <x:c r="F31" t="n">
        <x:f>Data_Segments!F7</x:f>
        <x:v>248</x:v>
      </x:c>
      <x:c r="G31" t="n">
        <x:f>Data_Segments!G7</x:f>
        <x:v>29.29</x:v>
      </x:c>
      <x:c r="H31" s="338" t="n">
        <x:f>Data_Segments!H7</x:f>
        <x:v>14348000</x:v>
      </x:c>
    </x:row>
    <x:row r="35">
      <x:c r="A35" s="381" t="str">
        <x:v>Management implication: approval and response delays are concentrated in review and revision loops. The operating-segment comparison supports targeted governance for Slow decision profiles and Low digital-coordination projects.</x:v>
      </x:c>
      <x:c r="B35" s="381"/>
      <x:c r="C35" s="381"/>
      <x:c r="D35" s="381"/>
      <x:c r="E35" s="381"/>
      <x:c r="F35" s="381"/>
      <x:c r="G35" s="381"/>
      <x:c r="H35" s="381"/>
    </x:row>
    <x:row r="36">
      <x:c r="A36" s="381"/>
      <x:c r="B36" s="381"/>
      <x:c r="C36" s="381"/>
      <x:c r="D36" s="381"/>
      <x:c r="E36" s="381"/>
      <x:c r="F36" s="381"/>
      <x:c r="G36" s="381"/>
      <x:c r="H36" s="381"/>
    </x:row>
    <x:row r="37">
      <x:c r="A37" s="381"/>
      <x:c r="B37" s="381"/>
      <x:c r="C37" s="381"/>
      <x:c r="D37" s="381"/>
      <x:c r="E37" s="381"/>
      <x:c r="F37" s="381"/>
      <x:c r="G37" s="381"/>
      <x:c r="H37" s="381"/>
    </x:row>
    <x:row r="38">
      <x:c r="A38" s="381"/>
      <x:c r="B38" s="381"/>
      <x:c r="C38" s="381"/>
      <x:c r="D38" s="381"/>
      <x:c r="E38" s="381"/>
      <x:c r="F38" s="381"/>
      <x:c r="G38" s="381"/>
      <x:c r="H38" s="381"/>
    </x:row>
    <x:row r="39">
      <x:c r="A39" s="381"/>
      <x:c r="B39" s="381"/>
      <x:c r="C39" s="381"/>
      <x:c r="D39" s="381"/>
      <x:c r="E39" s="381"/>
      <x:c r="F39" s="381"/>
      <x:c r="G39" s="381"/>
      <x:c r="H39" s="381"/>
    </x:row>
    <x:row r="40">
      <x:c r="A40" s="381"/>
      <x:c r="B40" s="381"/>
      <x:c r="C40" s="381"/>
      <x:c r="D40" s="381"/>
      <x:c r="E40" s="381"/>
      <x:c r="F40" s="381"/>
      <x:c r="G40" s="381"/>
      <x:c r="H40" s="381"/>
    </x:row>
  </x:sheetData>
  <x:mergeCells>
    <x:mergeCell ref="A35:H40"/>
    <x:mergeCell ref="A1:N1"/>
    <x:mergeCell ref="A2:N3"/>
  </x:mergeCells>
  <x:conditionalFormatting sqref="F6:F20">
    <x:cfRule type="dataBar" priority="1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{7BD83374-4D4A-623A-C003-57B63A39EAA6}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f6a6752952b459f"/>
  <x:tableParts count="2">
    <x:tablePart xmlns:r="http://schemas.openxmlformats.org/officeDocument/2006/relationships" r:id="R070c69d8a2174920"/>
    <x:tablePart xmlns:r="http://schemas.openxmlformats.org/officeDocument/2006/relationships" r:id="Rd89a5a967f1647a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BD83374-4D4A-623A-C003-57B63A39EAA6}">
            <x14:dataBar gradient="1">
              <x14:cfvo type="min"/>
              <x14:cfvo type="max"/>
              <x14:fillColor rgb="FF1EA7C5"/>
            </x14:dataBar>
          </x14:cfRule>
          <xm:sqref>F6:F20</xm:sqref>
        </x14:conditionalFormatting>
      </x14:conditionalFormattings>
    </x:ext>
  </x:extLst>
</x:worksheet>
</file>