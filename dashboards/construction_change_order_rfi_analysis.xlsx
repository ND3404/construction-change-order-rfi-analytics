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aa8e9332d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6a933684b7d5494c"/>
    <x:sheet xmlns:r="http://schemas.openxmlformats.org/officeDocument/2006/relationships" name="Project_Risk" sheetId="2" r:id="Rde6220e1e5ce4ba1"/>
    <x:sheet xmlns:r="http://schemas.openxmlformats.org/officeDocument/2006/relationships" name="RFI_Discipline" sheetId="3" r:id="Rf6dd296f21fa45b7"/>
    <x:sheet xmlns:r="http://schemas.openxmlformats.org/officeDocument/2006/relationships" name="RFI_Type" sheetId="4" r:id="Rc8360b8000124883"/>
    <x:sheet xmlns:r="http://schemas.openxmlformats.org/officeDocument/2006/relationships" name="Change_Category" sheetId="5" r:id="R68af6b7e11f844af"/>
    <x:sheet xmlns:r="http://schemas.openxmlformats.org/officeDocument/2006/relationships" name="Workflow_Bottlenecks" sheetId="6" r:id="R7a29fe7b70954df7"/>
    <x:sheet xmlns:r="http://schemas.openxmlformats.org/officeDocument/2006/relationships" name="Segment_Analysis" sheetId="7" r:id="R9b84a1b79e2a4a67"/>
    <x:sheet xmlns:r="http://schemas.openxmlformats.org/officeDocument/2006/relationships" name="Associations" sheetId="8" r:id="Rc20b2d203c3741ae"/>
    <x:sheet xmlns:r="http://schemas.openxmlformats.org/officeDocument/2006/relationships" name="Model_Results" sheetId="9" r:id="Re9c6dcc9dcb34221"/>
    <x:sheet xmlns:r="http://schemas.openxmlformats.org/officeDocument/2006/relationships" name="Thresholds" sheetId="10" r:id="R9e6e6dc4f10040d7"/>
    <x:sheet xmlns:r="http://schemas.openxmlformats.org/officeDocument/2006/relationships" name="Sources" sheetId="11" r:id="Ra995ae103caf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"/>
    <x:numFmt numFmtId="201" formatCode="#,##0"/>
    <x:numFmt numFmtId="202" formatCode="0.0 &quot;days&quot;"/>
    <x:numFmt numFmtId="203" formatCode="0.0%"/>
    <x:numFmt numFmtId="204" formatCode="$#,##0.0,,&quot;M&quot;"/>
    <x:numFmt numFmtId="205" formatCode="0.00%"/>
    <x:numFmt numFmtId="206" formatCode="$#,##0"/>
    <x:numFmt numFmtId="207" formatCode="0.000"/>
    <x:numFmt numFmtId="208" formatCode="0.00E+00"/>
    <x:numFmt numFmtId="209" formatCode="0.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3557"/>
      <x:name val="Carlito"/>
    </x:font>
    <x:font>
      <x:b/>
      <x:sz val="18"/>
      <x:color rgb="FF071A2C"/>
      <x:name val="Carlito"/>
    </x:font>
    <x:font>
      <x:b/>
      <x:sz val="10"/>
      <x:color rgb="FF0E3557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  <x:font>
      <x:b/>
      <x:sz val="11"/>
      <x:color rgb="FF9C2E2E"/>
      <x:name val="Carlito"/>
    </x:font>
    <x:font>
      <x:sz val="11"/>
      <x:color rgb="FF0E3557"/>
      <x:name val="Carlito"/>
    </x:font>
    <x:font>
      <x:b/>
      <x:sz val="17"/>
      <x:color rgb="FFFFFFFF"/>
      <x:name val="Carlito"/>
    </x:font>
    <x:font>
      <x:b/>
      <x:sz val="11"/>
      <x:color rgb="FF8A6500"/>
      <x:name val="Carlito"/>
    </x:font>
    <x:font>
      <x:b/>
      <x:sz val="11"/>
      <x:color rgb="FF2F6B3F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FFFFFF"/>
      </x:patternFill>
    </x:fill>
    <x:fill>
      <x:patternFill patternType="solid">
        <x:fgColor rgb="FFE8F1F7"/>
      </x:patternFill>
    </x:fill>
    <x:fill>
      <x:patternFill patternType="solid">
        <x:fgColor rgb="FF155F86"/>
      </x:patternFill>
    </x:fill>
    <x:fill>
      <x:patternFill patternType="solid">
        <x:fgColor rgb="FFFCE2E0"/>
      </x:patternFill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FFFFFF"/>
      </x:patternFill>
    </x:fill>
    <x:fill>
      <x:patternFill patternType="solid">
        <x:fgColor rgb="FFE8F1F7"/>
      </x:patternFill>
    </x:fill>
    <x:fill>
      <x:patternFill patternType="solid">
        <x:fgColor rgb="FF155F86"/>
      </x:patternFill>
    </x:fill>
    <x:fill>
      <x:patternFill patternType="solid">
        <x:fgColor rgb="FFFCE2E0"/>
      </x:patternFill>
    </x:fill>
    <x:fill>
      <x:patternFill patternType="solid">
        <x:fgColor rgb="FFFFF2CC"/>
      </x:patternFill>
    </x:fill>
    <x:fill>
      <x:patternFill patternType="solid">
        <x:fgColor rgb="FFDDEFE2"/>
      </x:patternFill>
    </x:fill>
  </x:fills>
  <x:borders count="3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200" fontId="3" fillId="4" borderId="2" xfId="0" applyNumberFormat="1" applyFont="1" applyFill="1" applyBorder="1"/>
    <x:xf numFmtId="200" fontId="3" fillId="4" borderId="3" xfId="0" applyNumberFormat="1" applyFont="1" applyFill="1" applyBorder="1"/>
    <x:xf numFmtId="200" fontId="3" fillId="4" borderId="4" xfId="0" applyNumberFormat="1" applyFont="1" applyFill="1" applyBorder="1"/>
    <x:xf numFmtId="200" fontId="3" fillId="4" borderId="5" xfId="0" applyNumberFormat="1" applyFont="1" applyFill="1" applyBorder="1"/>
    <x:xf numFmtId="200" fontId="3" fillId="4" borderId="0" xfId="0" applyNumberFormat="1" applyFont="1" applyFill="1" applyBorder="1"/>
    <x:xf numFmtId="200" fontId="3" fillId="4" borderId="6" xfId="0" applyNumberFormat="1" applyFont="1" applyFill="1" applyBorder="1"/>
    <x:xf numFmtId="200" fontId="3" fillId="4" borderId="7" xfId="0" applyNumberFormat="1" applyFont="1" applyFill="1" applyBorder="1"/>
    <x:xf numFmtId="200" fontId="3" fillId="4" borderId="8" xfId="0" applyNumberFormat="1" applyFont="1" applyFill="1" applyBorder="1"/>
    <x:xf numFmtId="200" fontId="3" fillId="4" borderId="9" xfId="0" applyNumberFormat="1" applyFont="1" applyFill="1" applyBorder="1"/>
    <x:xf numFmtId="200" fontId="3" fillId="4" borderId="2" xfId="0" applyNumberFormat="1" applyFont="1" applyFill="1" applyBorder="1" applyAlignment="1">
      <x:alignment horizontal="center"/>
    </x:xf>
    <x:xf numFmtId="200" fontId="3" fillId="4" borderId="3" xfId="0" applyNumberFormat="1" applyFont="1" applyFill="1" applyBorder="1" applyAlignment="1">
      <x:alignment horizontal="center"/>
    </x:xf>
    <x:xf numFmtId="200" fontId="3" fillId="4" borderId="4" xfId="0" applyNumberFormat="1" applyFont="1" applyFill="1" applyBorder="1" applyAlignment="1">
      <x:alignment horizontal="center"/>
    </x:xf>
    <x:xf numFmtId="200" fontId="3" fillId="4" borderId="5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6" xfId="0" applyNumberFormat="1" applyFont="1" applyFill="1" applyBorder="1" applyAlignment="1">
      <x:alignment horizontal="center"/>
    </x:xf>
    <x:xf numFmtId="200" fontId="3" fillId="4" borderId="7" xfId="0" applyNumberFormat="1" applyFont="1" applyFill="1" applyBorder="1" applyAlignment="1">
      <x:alignment horizontal="center"/>
    </x:xf>
    <x:xf numFmtId="200" fontId="3" fillId="4" borderId="8" xfId="0" applyNumberFormat="1" applyFont="1" applyFill="1" applyBorder="1" applyAlignment="1">
      <x:alignment horizontal="center"/>
    </x:xf>
    <x:xf numFmtId="200" fontId="3" fillId="4" borderId="9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3" xfId="0" applyNumberFormat="1" applyFont="1" applyFill="1" applyBorder="1" applyAlignment="1">
      <x:alignment horizontal="center" vertical="center"/>
    </x:xf>
    <x:xf numFmtId="200" fontId="3" fillId="4" borderId="4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6" xfId="0" applyNumberFormat="1" applyFont="1" applyFill="1" applyBorder="1" applyAlignment="1">
      <x:alignment horizontal="center" vertical="center"/>
    </x:xf>
    <x:xf numFmtId="200" fontId="3" fillId="4" borderId="7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200" fontId="3" fillId="4" borderId="9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200" fontId="3" fillId="4" borderId="10" xfId="0" applyNumberFormat="1" applyFont="1" applyFill="1" applyBorder="1"/>
    <x:xf numFmtId="200" fontId="3" fillId="4" borderId="11" xfId="0" applyNumberFormat="1" applyFont="1" applyFill="1" applyBorder="1"/>
    <x:xf numFmtId="200" fontId="3" fillId="4" borderId="12" xfId="0" applyNumberFormat="1" applyFont="1" applyFill="1" applyBorder="1"/>
    <x:xf numFmtId="200" fontId="3" fillId="4" borderId="13" xfId="0" applyNumberFormat="1" applyFont="1" applyFill="1" applyBorder="1"/>
    <x:xf numFmtId="200" fontId="3" fillId="4" borderId="1" xfId="0" applyNumberFormat="1" applyFont="1" applyFill="1" applyBorder="1"/>
    <x:xf numFmtId="200" fontId="3" fillId="4" borderId="14" xfId="0" applyNumberFormat="1" applyFont="1" applyFill="1" applyBorder="1"/>
    <x:xf numFmtId="200" fontId="3" fillId="4" borderId="15" xfId="0" applyNumberFormat="1" applyFont="1" applyFill="1" applyBorder="1"/>
    <x:xf numFmtId="200" fontId="3" fillId="4" borderId="16" xfId="0" applyNumberFormat="1" applyFont="1" applyFill="1" applyBorder="1"/>
    <x:xf numFmtId="200" fontId="3" fillId="4" borderId="17" xfId="0" applyNumberFormat="1" applyFont="1" applyFill="1" applyBorder="1"/>
    <x:xf numFmtId="200" fontId="3" fillId="4" borderId="10" xfId="0" applyNumberFormat="1" applyFont="1" applyFill="1" applyBorder="1" applyAlignment="1">
      <x:alignment horizontal="center"/>
    </x:xf>
    <x:xf numFmtId="200" fontId="3" fillId="4" borderId="11" xfId="0" applyNumberFormat="1" applyFont="1" applyFill="1" applyBorder="1" applyAlignment="1">
      <x:alignment horizont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0" fontId="3" fillId="4" borderId="15" xfId="0" applyNumberFormat="1" applyFont="1" applyFill="1" applyBorder="1" applyAlignment="1">
      <x:alignment horizontal="center"/>
    </x:xf>
    <x:xf numFmtId="200" fontId="3" fillId="4" borderId="16" xfId="0" applyNumberFormat="1" applyFont="1" applyFill="1" applyBorder="1" applyAlignment="1">
      <x:alignment horizontal="center"/>
    </x:xf>
    <x:xf numFmtId="200" fontId="3" fillId="4" borderId="17" xfId="0" applyNumberFormat="1" applyFont="1" applyFill="1" applyBorder="1" applyAlignment="1">
      <x:alignment horizontal="center"/>
    </x:xf>
    <x:xf numFmtId="200" fontId="3" fillId="4" borderId="10" xfId="0" applyNumberFormat="1" applyFont="1" applyFill="1" applyBorder="1" applyAlignment="1">
      <x:alignment horizontal="center" vertical="center"/>
    </x:xf>
    <x:xf numFmtId="200" fontId="3" fillId="4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 vertical="center"/>
    </x:xf>
    <x:xf numFmtId="200" fontId="3" fillId="4" borderId="13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0" fontId="3" fillId="4" borderId="14" xfId="0" applyNumberFormat="1" applyFont="1" applyFill="1" applyBorder="1" applyAlignment="1">
      <x:alignment horizontal="center" vertical="center"/>
    </x:xf>
    <x:xf numFmtId="200" fontId="3" fillId="4" borderId="15" xfId="0" applyNumberFormat="1" applyFont="1" applyFill="1" applyBorder="1" applyAlignment="1">
      <x:alignment horizontal="center" vertical="center"/>
    </x:xf>
    <x:xf numFmtId="200" fontId="3" fillId="4" borderId="16" xfId="0" applyNumberFormat="1" applyFont="1" applyFill="1" applyBorder="1" applyAlignment="1">
      <x:alignment horizontal="center" vertical="center"/>
    </x:xf>
    <x:xf numFmtId="200" fontId="3" fillId="4" borderId="1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3" fillId="4" borderId="2" xfId="0" applyNumberFormat="1" applyFont="1" applyFill="1" applyBorder="1"/>
    <x:xf numFmtId="201" fontId="3" fillId="4" borderId="3" xfId="0" applyNumberFormat="1" applyFont="1" applyFill="1" applyBorder="1"/>
    <x:xf numFmtId="201" fontId="3" fillId="4" borderId="4" xfId="0" applyNumberFormat="1" applyFont="1" applyFill="1" applyBorder="1"/>
    <x:xf numFmtId="201" fontId="3" fillId="4" borderId="5" xfId="0" applyNumberFormat="1" applyFont="1" applyFill="1" applyBorder="1"/>
    <x:xf numFmtId="201" fontId="3" fillId="4" borderId="0" xfId="0" applyNumberFormat="1" applyFont="1" applyFill="1" applyBorder="1"/>
    <x:xf numFmtId="201" fontId="3" fillId="4" borderId="6" xfId="0" applyNumberFormat="1" applyFont="1" applyFill="1" applyBorder="1"/>
    <x:xf numFmtId="201" fontId="3" fillId="4" borderId="7" xfId="0" applyNumberFormat="1" applyFont="1" applyFill="1" applyBorder="1"/>
    <x:xf numFmtId="201" fontId="3" fillId="4" borderId="8" xfId="0" applyNumberFormat="1" applyFont="1" applyFill="1" applyBorder="1"/>
    <x:xf numFmtId="201" fontId="3" fillId="4" borderId="9" xfId="0" applyNumberFormat="1" applyFont="1" applyFill="1" applyBorder="1"/>
    <x:xf numFmtId="201" fontId="3" fillId="4" borderId="2" xfId="0" applyNumberFormat="1" applyFont="1" applyFill="1" applyBorder="1" applyAlignment="1">
      <x:alignment horizontal="center"/>
    </x:xf>
    <x:xf numFmtId="201" fontId="3" fillId="4" borderId="3" xfId="0" applyNumberFormat="1" applyFont="1" applyFill="1" applyBorder="1" applyAlignment="1">
      <x:alignment horizontal="center"/>
    </x:xf>
    <x:xf numFmtId="201" fontId="3" fillId="4" borderId="4" xfId="0" applyNumberFormat="1" applyFont="1" applyFill="1" applyBorder="1" applyAlignment="1">
      <x:alignment horizontal="center"/>
    </x:xf>
    <x:xf numFmtId="201" fontId="3" fillId="4" borderId="5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1" fontId="3" fillId="4" borderId="6" xfId="0" applyNumberFormat="1" applyFont="1" applyFill="1" applyBorder="1" applyAlignment="1">
      <x:alignment horizontal="center"/>
    </x:xf>
    <x:xf numFmtId="201" fontId="3" fillId="4" borderId="7" xfId="0" applyNumberFormat="1" applyFont="1" applyFill="1" applyBorder="1" applyAlignment="1">
      <x:alignment horizontal="center"/>
    </x:xf>
    <x:xf numFmtId="201" fontId="3" fillId="4" borderId="8" xfId="0" applyNumberFormat="1" applyFont="1" applyFill="1" applyBorder="1" applyAlignment="1">
      <x:alignment horizontal="center"/>
    </x:xf>
    <x:xf numFmtId="201" fontId="3" fillId="4" borderId="9" xfId="0" applyNumberFormat="1" applyFont="1" applyFill="1" applyBorder="1" applyAlignment="1">
      <x:alignment horizontal="center"/>
    </x:xf>
    <x:xf numFmtId="201" fontId="3" fillId="4" borderId="2" xfId="0" applyNumberFormat="1" applyFont="1" applyFill="1" applyBorder="1" applyAlignment="1">
      <x:alignment horizontal="center" vertical="center"/>
    </x:xf>
    <x:xf numFmtId="201" fontId="3" fillId="4" borderId="3" xfId="0" applyNumberFormat="1" applyFont="1" applyFill="1" applyBorder="1" applyAlignment="1">
      <x:alignment horizontal="center" vertical="center"/>
    </x:xf>
    <x:xf numFmtId="201" fontId="3" fillId="4" borderId="4" xfId="0" applyNumberFormat="1" applyFont="1" applyFill="1" applyBorder="1" applyAlignment="1">
      <x:alignment horizontal="center" vertical="center"/>
    </x:xf>
    <x:xf numFmtId="201" fontId="3" fillId="4" borderId="5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1" fontId="3" fillId="4" borderId="6" xfId="0" applyNumberFormat="1" applyFont="1" applyFill="1" applyBorder="1" applyAlignment="1">
      <x:alignment horizontal="center" vertical="center"/>
    </x:xf>
    <x:xf numFmtId="201" fontId="3" fillId="4" borderId="7" xfId="0" applyNumberFormat="1" applyFont="1" applyFill="1" applyBorder="1" applyAlignment="1">
      <x:alignment horizontal="center" vertical="center"/>
    </x:xf>
    <x:xf numFmtId="201" fontId="3" fillId="4" borderId="8" xfId="0" applyNumberFormat="1" applyFont="1" applyFill="1" applyBorder="1" applyAlignment="1">
      <x:alignment horizontal="center" vertical="center"/>
    </x:xf>
    <x:xf numFmtId="201" fontId="3" fillId="4" borderId="9" xfId="0" applyNumberFormat="1" applyFont="1" applyFill="1" applyBorder="1" applyAlignment="1">
      <x:alignment horizontal="center" vertical="center"/>
    </x:xf>
    <x:xf numFmtId="201" fontId="3" fillId="4" borderId="10" xfId="0" applyNumberFormat="1" applyFont="1" applyFill="1" applyBorder="1"/>
    <x:xf numFmtId="201" fontId="3" fillId="4" borderId="11" xfId="0" applyNumberFormat="1" applyFont="1" applyFill="1" applyBorder="1"/>
    <x:xf numFmtId="201" fontId="3" fillId="4" borderId="12" xfId="0" applyNumberFormat="1" applyFont="1" applyFill="1" applyBorder="1"/>
    <x:xf numFmtId="201" fontId="3" fillId="4" borderId="13" xfId="0" applyNumberFormat="1" applyFont="1" applyFill="1" applyBorder="1"/>
    <x:xf numFmtId="201" fontId="3" fillId="4" borderId="1" xfId="0" applyNumberFormat="1" applyFont="1" applyFill="1" applyBorder="1"/>
    <x:xf numFmtId="201" fontId="3" fillId="4" borderId="14" xfId="0" applyNumberFormat="1" applyFont="1" applyFill="1" applyBorder="1"/>
    <x:xf numFmtId="201" fontId="3" fillId="4" borderId="15" xfId="0" applyNumberFormat="1" applyFont="1" applyFill="1" applyBorder="1"/>
    <x:xf numFmtId="201" fontId="3" fillId="4" borderId="16" xfId="0" applyNumberFormat="1" applyFont="1" applyFill="1" applyBorder="1"/>
    <x:xf numFmtId="201" fontId="3" fillId="4" borderId="17" xfId="0" applyNumberFormat="1" applyFont="1" applyFill="1" applyBorder="1"/>
    <x:xf numFmtId="201" fontId="3" fillId="4" borderId="10" xfId="0" applyNumberFormat="1" applyFont="1" applyFill="1" applyBorder="1" applyAlignment="1">
      <x:alignment horizontal="center"/>
    </x:xf>
    <x:xf numFmtId="201" fontId="3" fillId="4" borderId="11" xfId="0" applyNumberFormat="1" applyFont="1" applyFill="1" applyBorder="1" applyAlignment="1">
      <x:alignment horizontal="center"/>
    </x:xf>
    <x:xf numFmtId="201" fontId="3" fillId="4" borderId="12" xfId="0" applyNumberFormat="1" applyFont="1" applyFill="1" applyBorder="1" applyAlignment="1">
      <x:alignment horizontal="center"/>
    </x:xf>
    <x:xf numFmtId="201" fontId="3" fillId="4" borderId="13" xfId="0" applyNumberFormat="1" applyFont="1" applyFill="1" applyBorder="1" applyAlignment="1">
      <x:alignment horizontal="center"/>
    </x:xf>
    <x:xf numFmtId="201" fontId="3" fillId="4" borderId="1" xfId="0" applyNumberFormat="1" applyFont="1" applyFill="1" applyBorder="1" applyAlignment="1">
      <x:alignment horizontal="center"/>
    </x:xf>
    <x:xf numFmtId="201" fontId="3" fillId="4" borderId="14" xfId="0" applyNumberFormat="1" applyFont="1" applyFill="1" applyBorder="1" applyAlignment="1">
      <x:alignment horizontal="center"/>
    </x:xf>
    <x:xf numFmtId="201" fontId="3" fillId="4" borderId="15" xfId="0" applyNumberFormat="1" applyFont="1" applyFill="1" applyBorder="1" applyAlignment="1">
      <x:alignment horizontal="center"/>
    </x:xf>
    <x:xf numFmtId="201" fontId="3" fillId="4" borderId="16" xfId="0" applyNumberFormat="1" applyFont="1" applyFill="1" applyBorder="1" applyAlignment="1">
      <x:alignment horizontal="center"/>
    </x:xf>
    <x:xf numFmtId="201" fontId="3" fillId="4" borderId="17" xfId="0" applyNumberFormat="1" applyFont="1" applyFill="1" applyBorder="1" applyAlignment="1">
      <x:alignment horizontal="center"/>
    </x:xf>
    <x:xf numFmtId="201" fontId="3" fillId="4" borderId="10" xfId="0" applyNumberFormat="1" applyFont="1" applyFill="1" applyBorder="1" applyAlignment="1">
      <x:alignment horizontal="center" vertical="center"/>
    </x:xf>
    <x:xf numFmtId="201" fontId="3" fillId="4" borderId="11" xfId="0" applyNumberFormat="1" applyFont="1" applyFill="1" applyBorder="1" applyAlignment="1">
      <x:alignment horizontal="center" vertical="center"/>
    </x:xf>
    <x:xf numFmtId="201" fontId="3" fillId="4" borderId="12" xfId="0" applyNumberFormat="1" applyFont="1" applyFill="1" applyBorder="1" applyAlignment="1">
      <x:alignment horizontal="center" vertical="center"/>
    </x:xf>
    <x:xf numFmtId="201" fontId="3" fillId="4" borderId="13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1" fontId="3" fillId="4" borderId="14" xfId="0" applyNumberFormat="1" applyFont="1" applyFill="1" applyBorder="1" applyAlignment="1">
      <x:alignment horizontal="center" vertical="center"/>
    </x:xf>
    <x:xf numFmtId="201" fontId="3" fillId="4" borderId="15" xfId="0" applyNumberFormat="1" applyFont="1" applyFill="1" applyBorder="1" applyAlignment="1">
      <x:alignment horizontal="center" vertical="center"/>
    </x:xf>
    <x:xf numFmtId="201" fontId="3" fillId="4" borderId="16" xfId="0" applyNumberFormat="1" applyFont="1" applyFill="1" applyBorder="1" applyAlignment="1">
      <x:alignment horizontal="center" vertical="center"/>
    </x:xf>
    <x:xf numFmtId="201" fontId="3" fillId="4" borderId="17" xfId="0" applyNumberFormat="1" applyFont="1" applyFill="1" applyBorder="1" applyAlignment="1">
      <x:alignment horizontal="center" vertical="center"/>
    </x:xf>
    <x:xf numFmtId="202" fontId="3" fillId="4" borderId="2" xfId="0" applyNumberFormat="1" applyFont="1" applyFill="1" applyBorder="1"/>
    <x:xf numFmtId="202" fontId="3" fillId="4" borderId="3" xfId="0" applyNumberFormat="1" applyFont="1" applyFill="1" applyBorder="1"/>
    <x:xf numFmtId="202" fontId="3" fillId="4" borderId="4" xfId="0" applyNumberFormat="1" applyFont="1" applyFill="1" applyBorder="1"/>
    <x:xf numFmtId="202" fontId="3" fillId="4" borderId="5" xfId="0" applyNumberFormat="1" applyFont="1" applyFill="1" applyBorder="1"/>
    <x:xf numFmtId="202" fontId="3" fillId="4" borderId="0" xfId="0" applyNumberFormat="1" applyFont="1" applyFill="1" applyBorder="1"/>
    <x:xf numFmtId="202" fontId="3" fillId="4" borderId="6" xfId="0" applyNumberFormat="1" applyFont="1" applyFill="1" applyBorder="1"/>
    <x:xf numFmtId="202" fontId="3" fillId="4" borderId="7" xfId="0" applyNumberFormat="1" applyFont="1" applyFill="1" applyBorder="1"/>
    <x:xf numFmtId="202" fontId="3" fillId="4" borderId="8" xfId="0" applyNumberFormat="1" applyFont="1" applyFill="1" applyBorder="1"/>
    <x:xf numFmtId="202" fontId="3" fillId="4" borderId="9" xfId="0" applyNumberFormat="1" applyFont="1" applyFill="1" applyBorder="1"/>
    <x:xf numFmtId="202" fontId="3" fillId="4" borderId="2" xfId="0" applyNumberFormat="1" applyFont="1" applyFill="1" applyBorder="1" applyAlignment="1">
      <x:alignment horizontal="center"/>
    </x:xf>
    <x:xf numFmtId="202" fontId="3" fillId="4" borderId="3" xfId="0" applyNumberFormat="1" applyFont="1" applyFill="1" applyBorder="1" applyAlignment="1">
      <x:alignment horizontal="center"/>
    </x:xf>
    <x:xf numFmtId="202" fontId="3" fillId="4" borderId="4" xfId="0" applyNumberFormat="1" applyFont="1" applyFill="1" applyBorder="1" applyAlignment="1">
      <x:alignment horizontal="center"/>
    </x:xf>
    <x:xf numFmtId="202" fontId="3" fillId="4" borderId="5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202" fontId="3" fillId="4" borderId="6" xfId="0" applyNumberFormat="1" applyFont="1" applyFill="1" applyBorder="1" applyAlignment="1">
      <x:alignment horizontal="center"/>
    </x:xf>
    <x:xf numFmtId="202" fontId="3" fillId="4" borderId="7" xfId="0" applyNumberFormat="1" applyFont="1" applyFill="1" applyBorder="1" applyAlignment="1">
      <x:alignment horizontal="center"/>
    </x:xf>
    <x:xf numFmtId="202" fontId="3" fillId="4" borderId="8" xfId="0" applyNumberFormat="1" applyFont="1" applyFill="1" applyBorder="1" applyAlignment="1">
      <x:alignment horizontal="center"/>
    </x:xf>
    <x:xf numFmtId="202" fontId="3" fillId="4" borderId="9" xfId="0" applyNumberFormat="1" applyFont="1" applyFill="1" applyBorder="1" applyAlignment="1">
      <x:alignment horizontal="center"/>
    </x:xf>
    <x:xf numFmtId="202" fontId="3" fillId="4" borderId="2" xfId="0" applyNumberFormat="1" applyFont="1" applyFill="1" applyBorder="1" applyAlignment="1">
      <x:alignment horizontal="center" vertical="center"/>
    </x:xf>
    <x:xf numFmtId="202" fontId="3" fillId="4" borderId="3" xfId="0" applyNumberFormat="1" applyFont="1" applyFill="1" applyBorder="1" applyAlignment="1">
      <x:alignment horizontal="center" vertical="center"/>
    </x:xf>
    <x:xf numFmtId="202" fontId="3" fillId="4" borderId="4" xfId="0" applyNumberFormat="1" applyFont="1" applyFill="1" applyBorder="1" applyAlignment="1">
      <x:alignment horizontal="center" vertical="center"/>
    </x:xf>
    <x:xf numFmtId="202" fontId="3" fillId="4" borderId="5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202" fontId="3" fillId="4" borderId="6" xfId="0" applyNumberFormat="1" applyFont="1" applyFill="1" applyBorder="1" applyAlignment="1">
      <x:alignment horizontal="center" vertical="center"/>
    </x:xf>
    <x:xf numFmtId="202" fontId="3" fillId="4" borderId="7" xfId="0" applyNumberFormat="1" applyFont="1" applyFill="1" applyBorder="1" applyAlignment="1">
      <x:alignment horizontal="center" vertical="center"/>
    </x:xf>
    <x:xf numFmtId="202" fontId="3" fillId="4" borderId="8" xfId="0" applyNumberFormat="1" applyFont="1" applyFill="1" applyBorder="1" applyAlignment="1">
      <x:alignment horizontal="center" vertical="center"/>
    </x:xf>
    <x:xf numFmtId="202" fontId="3" fillId="4" borderId="9" xfId="0" applyNumberFormat="1" applyFont="1" applyFill="1" applyBorder="1" applyAlignment="1">
      <x:alignment horizontal="center" vertical="center"/>
    </x:xf>
    <x:xf numFmtId="202" fontId="3" fillId="4" borderId="10" xfId="0" applyNumberFormat="1" applyFont="1" applyFill="1" applyBorder="1"/>
    <x:xf numFmtId="202" fontId="3" fillId="4" borderId="11" xfId="0" applyNumberFormat="1" applyFont="1" applyFill="1" applyBorder="1"/>
    <x:xf numFmtId="202" fontId="3" fillId="4" borderId="12" xfId="0" applyNumberFormat="1" applyFont="1" applyFill="1" applyBorder="1"/>
    <x:xf numFmtId="202" fontId="3" fillId="4" borderId="13" xfId="0" applyNumberFormat="1" applyFont="1" applyFill="1" applyBorder="1"/>
    <x:xf numFmtId="202" fontId="3" fillId="4" borderId="1" xfId="0" applyNumberFormat="1" applyFont="1" applyFill="1" applyBorder="1"/>
    <x:xf numFmtId="202" fontId="3" fillId="4" borderId="14" xfId="0" applyNumberFormat="1" applyFont="1" applyFill="1" applyBorder="1"/>
    <x:xf numFmtId="202" fontId="3" fillId="4" borderId="15" xfId="0" applyNumberFormat="1" applyFont="1" applyFill="1" applyBorder="1"/>
    <x:xf numFmtId="202" fontId="3" fillId="4" borderId="16" xfId="0" applyNumberFormat="1" applyFont="1" applyFill="1" applyBorder="1"/>
    <x:xf numFmtId="202" fontId="3" fillId="4" borderId="17" xfId="0" applyNumberFormat="1" applyFont="1" applyFill="1" applyBorder="1"/>
    <x:xf numFmtId="202" fontId="3" fillId="4" borderId="10" xfId="0" applyNumberFormat="1" applyFont="1" applyFill="1" applyBorder="1" applyAlignment="1">
      <x:alignment horizontal="center"/>
    </x:xf>
    <x:xf numFmtId="202" fontId="3" fillId="4" borderId="11" xfId="0" applyNumberFormat="1" applyFont="1" applyFill="1" applyBorder="1" applyAlignment="1">
      <x:alignment horizontal="center"/>
    </x:xf>
    <x:xf numFmtId="202" fontId="3" fillId="4" borderId="12" xfId="0" applyNumberFormat="1" applyFont="1" applyFill="1" applyBorder="1" applyAlignment="1">
      <x:alignment horizontal="center"/>
    </x:xf>
    <x:xf numFmtId="202" fontId="3" fillId="4" borderId="13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 applyAlignment="1">
      <x:alignment horizontal="center"/>
    </x:xf>
    <x:xf numFmtId="202" fontId="3" fillId="4" borderId="14" xfId="0" applyNumberFormat="1" applyFont="1" applyFill="1" applyBorder="1" applyAlignment="1">
      <x:alignment horizontal="center"/>
    </x:xf>
    <x:xf numFmtId="202" fontId="3" fillId="4" borderId="15" xfId="0" applyNumberFormat="1" applyFont="1" applyFill="1" applyBorder="1" applyAlignment="1">
      <x:alignment horizontal="center"/>
    </x:xf>
    <x:xf numFmtId="202" fontId="3" fillId="4" borderId="16" xfId="0" applyNumberFormat="1" applyFont="1" applyFill="1" applyBorder="1" applyAlignment="1">
      <x:alignment horizontal="center"/>
    </x:xf>
    <x:xf numFmtId="202" fontId="3" fillId="4" borderId="17" xfId="0" applyNumberFormat="1" applyFont="1" applyFill="1" applyBorder="1" applyAlignment="1">
      <x:alignment horizontal="center"/>
    </x:xf>
    <x:xf numFmtId="202" fontId="3" fillId="4" borderId="10" xfId="0" applyNumberFormat="1" applyFont="1" applyFill="1" applyBorder="1" applyAlignment="1">
      <x:alignment horizontal="center" vertical="center"/>
    </x:xf>
    <x:xf numFmtId="202" fontId="3" fillId="4" borderId="11" xfId="0" applyNumberFormat="1" applyFont="1" applyFill="1" applyBorder="1" applyAlignment="1">
      <x:alignment horizontal="center" vertical="center"/>
    </x:xf>
    <x:xf numFmtId="202" fontId="3" fillId="4" borderId="12" xfId="0" applyNumberFormat="1" applyFont="1" applyFill="1" applyBorder="1" applyAlignment="1">
      <x:alignment horizontal="center" vertical="center"/>
    </x:xf>
    <x:xf numFmtId="202" fontId="3" fillId="4" borderId="13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202" fontId="3" fillId="4" borderId="14" xfId="0" applyNumberFormat="1" applyFont="1" applyFill="1" applyBorder="1" applyAlignment="1">
      <x:alignment horizontal="center" vertical="center"/>
    </x:xf>
    <x:xf numFmtId="202" fontId="3" fillId="4" borderId="15" xfId="0" applyNumberFormat="1" applyFont="1" applyFill="1" applyBorder="1" applyAlignment="1">
      <x:alignment horizontal="center" vertical="center"/>
    </x:xf>
    <x:xf numFmtId="202" fontId="3" fillId="4" borderId="16" xfId="0" applyNumberFormat="1" applyFont="1" applyFill="1" applyBorder="1" applyAlignment="1">
      <x:alignment horizontal="center" vertical="center"/>
    </x:xf>
    <x:xf numFmtId="202" fontId="3" fillId="4" borderId="17" xfId="0" applyNumberFormat="1" applyFont="1" applyFill="1" applyBorder="1" applyAlignment="1">
      <x:alignment horizontal="center" vertical="center"/>
    </x:xf>
    <x:xf numFmtId="203" fontId="3" fillId="4" borderId="2" xfId="0" applyNumberFormat="1" applyFont="1" applyFill="1" applyBorder="1"/>
    <x:xf numFmtId="203" fontId="3" fillId="4" borderId="3" xfId="0" applyNumberFormat="1" applyFont="1" applyFill="1" applyBorder="1"/>
    <x:xf numFmtId="203" fontId="3" fillId="4" borderId="4" xfId="0" applyNumberFormat="1" applyFont="1" applyFill="1" applyBorder="1"/>
    <x:xf numFmtId="203" fontId="3" fillId="4" borderId="5" xfId="0" applyNumberFormat="1" applyFont="1" applyFill="1" applyBorder="1"/>
    <x:xf numFmtId="203" fontId="3" fillId="4" borderId="0" xfId="0" applyNumberFormat="1" applyFont="1" applyFill="1" applyBorder="1"/>
    <x:xf numFmtId="203" fontId="3" fillId="4" borderId="6" xfId="0" applyNumberFormat="1" applyFont="1" applyFill="1" applyBorder="1"/>
    <x:xf numFmtId="203" fontId="3" fillId="4" borderId="7" xfId="0" applyNumberFormat="1" applyFont="1" applyFill="1" applyBorder="1"/>
    <x:xf numFmtId="203" fontId="3" fillId="4" borderId="8" xfId="0" applyNumberFormat="1" applyFont="1" applyFill="1" applyBorder="1"/>
    <x:xf numFmtId="203" fontId="3" fillId="4" borderId="9" xfId="0" applyNumberFormat="1" applyFont="1" applyFill="1" applyBorder="1"/>
    <x:xf numFmtId="203" fontId="3" fillId="4" borderId="2" xfId="0" applyNumberFormat="1" applyFont="1" applyFill="1" applyBorder="1" applyAlignment="1">
      <x:alignment horizontal="center"/>
    </x:xf>
    <x:xf numFmtId="203" fontId="3" fillId="4" borderId="3" xfId="0" applyNumberFormat="1" applyFont="1" applyFill="1" applyBorder="1" applyAlignment="1">
      <x:alignment horizontal="center"/>
    </x:xf>
    <x:xf numFmtId="203" fontId="3" fillId="4" borderId="4" xfId="0" applyNumberFormat="1" applyFont="1" applyFill="1" applyBorder="1" applyAlignment="1">
      <x:alignment horizontal="center"/>
    </x:xf>
    <x:xf numFmtId="203" fontId="3" fillId="4" borderId="5" xfId="0" applyNumberFormat="1" applyFont="1" applyFill="1" applyBorder="1" applyAlignment="1">
      <x:alignment horizontal="center"/>
    </x:xf>
    <x:xf numFmtId="203" fontId="3" fillId="4" borderId="0" xfId="0" applyNumberFormat="1" applyFont="1" applyFill="1" applyBorder="1" applyAlignment="1">
      <x:alignment horizontal="center"/>
    </x:xf>
    <x:xf numFmtId="203" fontId="3" fillId="4" borderId="6" xfId="0" applyNumberFormat="1" applyFont="1" applyFill="1" applyBorder="1" applyAlignment="1">
      <x:alignment horizontal="center"/>
    </x:xf>
    <x:xf numFmtId="203" fontId="3" fillId="4" borderId="7" xfId="0" applyNumberFormat="1" applyFont="1" applyFill="1" applyBorder="1" applyAlignment="1">
      <x:alignment horizontal="center"/>
    </x:xf>
    <x:xf numFmtId="203" fontId="3" fillId="4" borderId="8" xfId="0" applyNumberFormat="1" applyFont="1" applyFill="1" applyBorder="1" applyAlignment="1">
      <x:alignment horizontal="center"/>
    </x:xf>
    <x:xf numFmtId="203" fontId="3" fillId="4" borderId="9" xfId="0" applyNumberFormat="1" applyFont="1" applyFill="1" applyBorder="1" applyAlignment="1">
      <x:alignment horizontal="center"/>
    </x:xf>
    <x:xf numFmtId="203" fontId="3" fillId="4" borderId="2" xfId="0" applyNumberFormat="1" applyFont="1" applyFill="1" applyBorder="1" applyAlignment="1">
      <x:alignment horizontal="center" vertical="center"/>
    </x:xf>
    <x:xf numFmtId="203" fontId="3" fillId="4" borderId="3" xfId="0" applyNumberFormat="1" applyFont="1" applyFill="1" applyBorder="1" applyAlignment="1">
      <x:alignment horizontal="center" vertical="center"/>
    </x:xf>
    <x:xf numFmtId="203" fontId="3" fillId="4" borderId="4" xfId="0" applyNumberFormat="1" applyFont="1" applyFill="1" applyBorder="1" applyAlignment="1">
      <x:alignment horizontal="center" vertical="center"/>
    </x:xf>
    <x:xf numFmtId="203" fontId="3" fillId="4" borderId="5" xfId="0" applyNumberFormat="1" applyFont="1" applyFill="1" applyBorder="1" applyAlignment="1">
      <x:alignment horizontal="center" vertical="center"/>
    </x:xf>
    <x:xf numFmtId="203" fontId="3" fillId="4" borderId="0" xfId="0" applyNumberFormat="1" applyFont="1" applyFill="1" applyBorder="1" applyAlignment="1">
      <x:alignment horizontal="center" vertical="center"/>
    </x:xf>
    <x:xf numFmtId="203" fontId="3" fillId="4" borderId="6" xfId="0" applyNumberFormat="1" applyFont="1" applyFill="1" applyBorder="1" applyAlignment="1">
      <x:alignment horizontal="center" vertical="center"/>
    </x:xf>
    <x:xf numFmtId="203" fontId="3" fillId="4" borderId="7" xfId="0" applyNumberFormat="1" applyFont="1" applyFill="1" applyBorder="1" applyAlignment="1">
      <x:alignment horizontal="center" vertical="center"/>
    </x:xf>
    <x:xf numFmtId="203" fontId="3" fillId="4" borderId="8" xfId="0" applyNumberFormat="1" applyFont="1" applyFill="1" applyBorder="1" applyAlignment="1">
      <x:alignment horizontal="center" vertical="center"/>
    </x:xf>
    <x:xf numFmtId="203" fontId="3" fillId="4" borderId="9" xfId="0" applyNumberFormat="1" applyFont="1" applyFill="1" applyBorder="1" applyAlignment="1">
      <x:alignment horizontal="center" vertical="center"/>
    </x:xf>
    <x:xf numFmtId="203" fontId="3" fillId="4" borderId="10" xfId="0" applyNumberFormat="1" applyFont="1" applyFill="1" applyBorder="1"/>
    <x:xf numFmtId="203" fontId="3" fillId="4" borderId="11" xfId="0" applyNumberFormat="1" applyFont="1" applyFill="1" applyBorder="1"/>
    <x:xf numFmtId="203" fontId="3" fillId="4" borderId="12" xfId="0" applyNumberFormat="1" applyFont="1" applyFill="1" applyBorder="1"/>
    <x:xf numFmtId="203" fontId="3" fillId="4" borderId="13" xfId="0" applyNumberFormat="1" applyFont="1" applyFill="1" applyBorder="1"/>
    <x:xf numFmtId="203" fontId="3" fillId="4" borderId="1" xfId="0" applyNumberFormat="1" applyFont="1" applyFill="1" applyBorder="1"/>
    <x:xf numFmtId="203" fontId="3" fillId="4" borderId="14" xfId="0" applyNumberFormat="1" applyFont="1" applyFill="1" applyBorder="1"/>
    <x:xf numFmtId="203" fontId="3" fillId="4" borderId="15" xfId="0" applyNumberFormat="1" applyFont="1" applyFill="1" applyBorder="1"/>
    <x:xf numFmtId="203" fontId="3" fillId="4" borderId="16" xfId="0" applyNumberFormat="1" applyFont="1" applyFill="1" applyBorder="1"/>
    <x:xf numFmtId="203" fontId="3" fillId="4" borderId="17" xfId="0" applyNumberFormat="1" applyFont="1" applyFill="1" applyBorder="1"/>
    <x:xf numFmtId="203" fontId="3" fillId="4" borderId="10" xfId="0" applyNumberFormat="1" applyFont="1" applyFill="1" applyBorder="1" applyAlignment="1">
      <x:alignment horizontal="center"/>
    </x:xf>
    <x:xf numFmtId="203" fontId="3" fillId="4" borderId="11" xfId="0" applyNumberFormat="1" applyFont="1" applyFill="1" applyBorder="1" applyAlignment="1">
      <x:alignment horizontal="center"/>
    </x:xf>
    <x:xf numFmtId="203" fontId="3" fillId="4" borderId="12" xfId="0" applyNumberFormat="1" applyFont="1" applyFill="1" applyBorder="1" applyAlignment="1">
      <x:alignment horizontal="center"/>
    </x:xf>
    <x:xf numFmtId="203" fontId="3" fillId="4" borderId="13" xfId="0" applyNumberFormat="1" applyFont="1" applyFill="1" applyBorder="1" applyAlignment="1">
      <x:alignment horizontal="center"/>
    </x:xf>
    <x:xf numFmtId="203" fontId="3" fillId="4" borderId="1" xfId="0" applyNumberFormat="1" applyFont="1" applyFill="1" applyBorder="1" applyAlignment="1">
      <x:alignment horizontal="center"/>
    </x:xf>
    <x:xf numFmtId="203" fontId="3" fillId="4" borderId="14" xfId="0" applyNumberFormat="1" applyFont="1" applyFill="1" applyBorder="1" applyAlignment="1">
      <x:alignment horizontal="center"/>
    </x:xf>
    <x:xf numFmtId="203" fontId="3" fillId="4" borderId="15" xfId="0" applyNumberFormat="1" applyFont="1" applyFill="1" applyBorder="1" applyAlignment="1">
      <x:alignment horizontal="center"/>
    </x:xf>
    <x:xf numFmtId="203" fontId="3" fillId="4" borderId="16" xfId="0" applyNumberFormat="1" applyFont="1" applyFill="1" applyBorder="1" applyAlignment="1">
      <x:alignment horizontal="center"/>
    </x:xf>
    <x:xf numFmtId="203" fontId="3" fillId="4" borderId="17" xfId="0" applyNumberFormat="1" applyFont="1" applyFill="1" applyBorder="1" applyAlignment="1">
      <x:alignment horizontal="center"/>
    </x:xf>
    <x:xf numFmtId="203" fontId="3" fillId="4" borderId="10" xfId="0" applyNumberFormat="1" applyFont="1" applyFill="1" applyBorder="1" applyAlignment="1">
      <x:alignment horizontal="center" vertical="center"/>
    </x:xf>
    <x:xf numFmtId="203" fontId="3" fillId="4" borderId="11" xfId="0" applyNumberFormat="1" applyFont="1" applyFill="1" applyBorder="1" applyAlignment="1">
      <x:alignment horizontal="center" vertical="center"/>
    </x:xf>
    <x:xf numFmtId="203" fontId="3" fillId="4" borderId="12" xfId="0" applyNumberFormat="1" applyFont="1" applyFill="1" applyBorder="1" applyAlignment="1">
      <x:alignment horizontal="center" vertical="center"/>
    </x:xf>
    <x:xf numFmtId="203" fontId="3" fillId="4" borderId="13" xfId="0" applyNumberFormat="1" applyFont="1" applyFill="1" applyBorder="1" applyAlignment="1">
      <x:alignment horizontal="center" vertical="center"/>
    </x:xf>
    <x:xf numFmtId="203" fontId="3" fillId="4" borderId="1" xfId="0" applyNumberFormat="1" applyFont="1" applyFill="1" applyBorder="1" applyAlignment="1">
      <x:alignment horizontal="center" vertical="center"/>
    </x:xf>
    <x:xf numFmtId="203" fontId="3" fillId="4" borderId="14" xfId="0" applyNumberFormat="1" applyFont="1" applyFill="1" applyBorder="1" applyAlignment="1">
      <x:alignment horizontal="center" vertical="center"/>
    </x:xf>
    <x:xf numFmtId="203" fontId="3" fillId="4" borderId="15" xfId="0" applyNumberFormat="1" applyFont="1" applyFill="1" applyBorder="1" applyAlignment="1">
      <x:alignment horizontal="center" vertical="center"/>
    </x:xf>
    <x:xf numFmtId="203" fontId="3" fillId="4" borderId="16" xfId="0" applyNumberFormat="1" applyFont="1" applyFill="1" applyBorder="1" applyAlignment="1">
      <x:alignment horizontal="center" vertical="center"/>
    </x:xf>
    <x:xf numFmtId="203" fontId="3" fillId="4" borderId="17" xfId="0" applyNumberFormat="1" applyFont="1" applyFill="1" applyBorder="1" applyAlignment="1">
      <x:alignment horizontal="center" vertical="center"/>
    </x:xf>
    <x:xf numFmtId="204" fontId="3" fillId="4" borderId="2" xfId="0" applyNumberFormat="1" applyFont="1" applyFill="1" applyBorder="1"/>
    <x:xf numFmtId="204" fontId="3" fillId="4" borderId="3" xfId="0" applyNumberFormat="1" applyFont="1" applyFill="1" applyBorder="1"/>
    <x:xf numFmtId="204" fontId="3" fillId="4" borderId="4" xfId="0" applyNumberFormat="1" applyFont="1" applyFill="1" applyBorder="1"/>
    <x:xf numFmtId="204" fontId="3" fillId="4" borderId="5" xfId="0" applyNumberFormat="1" applyFont="1" applyFill="1" applyBorder="1"/>
    <x:xf numFmtId="204" fontId="3" fillId="4" borderId="0" xfId="0" applyNumberFormat="1" applyFont="1" applyFill="1" applyBorder="1"/>
    <x:xf numFmtId="204" fontId="3" fillId="4" borderId="6" xfId="0" applyNumberFormat="1" applyFont="1" applyFill="1" applyBorder="1"/>
    <x:xf numFmtId="204" fontId="3" fillId="4" borderId="7" xfId="0" applyNumberFormat="1" applyFont="1" applyFill="1" applyBorder="1"/>
    <x:xf numFmtId="204" fontId="3" fillId="4" borderId="8" xfId="0" applyNumberFormat="1" applyFont="1" applyFill="1" applyBorder="1"/>
    <x:xf numFmtId="204" fontId="3" fillId="4" borderId="9" xfId="0" applyNumberFormat="1" applyFont="1" applyFill="1" applyBorder="1"/>
    <x:xf numFmtId="204" fontId="3" fillId="4" borderId="2" xfId="0" applyNumberFormat="1" applyFont="1" applyFill="1" applyBorder="1" applyAlignment="1">
      <x:alignment horizontal="center"/>
    </x:xf>
    <x:xf numFmtId="204" fontId="3" fillId="4" borderId="3" xfId="0" applyNumberFormat="1" applyFont="1" applyFill="1" applyBorder="1" applyAlignment="1">
      <x:alignment horizontal="center"/>
    </x:xf>
    <x:xf numFmtId="204" fontId="3" fillId="4" borderId="4" xfId="0" applyNumberFormat="1" applyFont="1" applyFill="1" applyBorder="1" applyAlignment="1">
      <x:alignment horizontal="center"/>
    </x:xf>
    <x:xf numFmtId="204" fontId="3" fillId="4" borderId="5" xfId="0" applyNumberFormat="1" applyFont="1" applyFill="1" applyBorder="1" applyAlignment="1">
      <x:alignment horizontal="center"/>
    </x:xf>
    <x:xf numFmtId="204" fontId="3" fillId="4" borderId="0" xfId="0" applyNumberFormat="1" applyFont="1" applyFill="1" applyBorder="1" applyAlignment="1">
      <x:alignment horizontal="center"/>
    </x:xf>
    <x:xf numFmtId="204" fontId="3" fillId="4" borderId="6" xfId="0" applyNumberFormat="1" applyFont="1" applyFill="1" applyBorder="1" applyAlignment="1">
      <x:alignment horizontal="center"/>
    </x:xf>
    <x:xf numFmtId="204" fontId="3" fillId="4" borderId="7" xfId="0" applyNumberFormat="1" applyFont="1" applyFill="1" applyBorder="1" applyAlignment="1">
      <x:alignment horizontal="center"/>
    </x:xf>
    <x:xf numFmtId="204" fontId="3" fillId="4" borderId="8" xfId="0" applyNumberFormat="1" applyFont="1" applyFill="1" applyBorder="1" applyAlignment="1">
      <x:alignment horizontal="center"/>
    </x:xf>
    <x:xf numFmtId="204" fontId="3" fillId="4" borderId="9" xfId="0" applyNumberFormat="1" applyFont="1" applyFill="1" applyBorder="1" applyAlignment="1">
      <x:alignment horizontal="center"/>
    </x:xf>
    <x:xf numFmtId="204" fontId="3" fillId="4" borderId="2" xfId="0" applyNumberFormat="1" applyFont="1" applyFill="1" applyBorder="1" applyAlignment="1">
      <x:alignment horizontal="center" vertical="center"/>
    </x:xf>
    <x:xf numFmtId="204" fontId="3" fillId="4" borderId="3" xfId="0" applyNumberFormat="1" applyFont="1" applyFill="1" applyBorder="1" applyAlignment="1">
      <x:alignment horizontal="center" vertical="center"/>
    </x:xf>
    <x:xf numFmtId="204" fontId="3" fillId="4" borderId="4" xfId="0" applyNumberFormat="1" applyFont="1" applyFill="1" applyBorder="1" applyAlignment="1">
      <x:alignment horizontal="center" vertical="center"/>
    </x:xf>
    <x:xf numFmtId="204" fontId="3" fillId="4" borderId="5" xfId="0" applyNumberFormat="1" applyFont="1" applyFill="1" applyBorder="1" applyAlignment="1">
      <x:alignment horizontal="center" vertical="center"/>
    </x:xf>
    <x:xf numFmtId="204" fontId="3" fillId="4" borderId="0" xfId="0" applyNumberFormat="1" applyFont="1" applyFill="1" applyBorder="1" applyAlignment="1">
      <x:alignment horizontal="center" vertical="center"/>
    </x:xf>
    <x:xf numFmtId="204" fontId="3" fillId="4" borderId="6" xfId="0" applyNumberFormat="1" applyFont="1" applyFill="1" applyBorder="1" applyAlignment="1">
      <x:alignment horizontal="center" vertical="center"/>
    </x:xf>
    <x:xf numFmtId="204" fontId="3" fillId="4" borderId="7" xfId="0" applyNumberFormat="1" applyFont="1" applyFill="1" applyBorder="1" applyAlignment="1">
      <x:alignment horizontal="center" vertical="center"/>
    </x:xf>
    <x:xf numFmtId="204" fontId="3" fillId="4" borderId="8" xfId="0" applyNumberFormat="1" applyFont="1" applyFill="1" applyBorder="1" applyAlignment="1">
      <x:alignment horizontal="center" vertical="center"/>
    </x:xf>
    <x:xf numFmtId="204" fontId="3" fillId="4" borderId="9" xfId="0" applyNumberFormat="1" applyFont="1" applyFill="1" applyBorder="1" applyAlignment="1">
      <x:alignment horizontal="center" vertical="center"/>
    </x:xf>
    <x:xf numFmtId="204" fontId="3" fillId="4" borderId="10" xfId="0" applyNumberFormat="1" applyFont="1" applyFill="1" applyBorder="1"/>
    <x:xf numFmtId="204" fontId="3" fillId="4" borderId="11" xfId="0" applyNumberFormat="1" applyFont="1" applyFill="1" applyBorder="1"/>
    <x:xf numFmtId="204" fontId="3" fillId="4" borderId="12" xfId="0" applyNumberFormat="1" applyFont="1" applyFill="1" applyBorder="1"/>
    <x:xf numFmtId="204" fontId="3" fillId="4" borderId="13" xfId="0" applyNumberFormat="1" applyFont="1" applyFill="1" applyBorder="1"/>
    <x:xf numFmtId="204" fontId="3" fillId="4" borderId="1" xfId="0" applyNumberFormat="1" applyFont="1" applyFill="1" applyBorder="1"/>
    <x:xf numFmtId="204" fontId="3" fillId="4" borderId="14" xfId="0" applyNumberFormat="1" applyFont="1" applyFill="1" applyBorder="1"/>
    <x:xf numFmtId="204" fontId="3" fillId="4" borderId="15" xfId="0" applyNumberFormat="1" applyFont="1" applyFill="1" applyBorder="1"/>
    <x:xf numFmtId="204" fontId="3" fillId="4" borderId="16" xfId="0" applyNumberFormat="1" applyFont="1" applyFill="1" applyBorder="1"/>
    <x:xf numFmtId="204" fontId="3" fillId="4" borderId="17" xfId="0" applyNumberFormat="1" applyFont="1" applyFill="1" applyBorder="1"/>
    <x:xf numFmtId="204" fontId="3" fillId="4" borderId="10" xfId="0" applyNumberFormat="1" applyFont="1" applyFill="1" applyBorder="1" applyAlignment="1">
      <x:alignment horizontal="center"/>
    </x:xf>
    <x:xf numFmtId="204" fontId="3" fillId="4" borderId="11" xfId="0" applyNumberFormat="1" applyFont="1" applyFill="1" applyBorder="1" applyAlignment="1">
      <x:alignment horizontal="center"/>
    </x:xf>
    <x:xf numFmtId="204" fontId="3" fillId="4" borderId="12" xfId="0" applyNumberFormat="1" applyFont="1" applyFill="1" applyBorder="1" applyAlignment="1">
      <x:alignment horizontal="center"/>
    </x:xf>
    <x:xf numFmtId="204" fontId="3" fillId="4" borderId="13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4" fontId="3" fillId="4" borderId="14" xfId="0" applyNumberFormat="1" applyFont="1" applyFill="1" applyBorder="1" applyAlignment="1">
      <x:alignment horizontal="center"/>
    </x:xf>
    <x:xf numFmtId="204" fontId="3" fillId="4" borderId="15" xfId="0" applyNumberFormat="1" applyFont="1" applyFill="1" applyBorder="1" applyAlignment="1">
      <x:alignment horizontal="center"/>
    </x:xf>
    <x:xf numFmtId="204" fontId="3" fillId="4" borderId="16" xfId="0" applyNumberFormat="1" applyFont="1" applyFill="1" applyBorder="1" applyAlignment="1">
      <x:alignment horizontal="center"/>
    </x:xf>
    <x:xf numFmtId="204" fontId="3" fillId="4" borderId="17" xfId="0" applyNumberFormat="1" applyFont="1" applyFill="1" applyBorder="1" applyAlignment="1">
      <x:alignment horizontal="center"/>
    </x:xf>
    <x:xf numFmtId="204" fontId="3" fillId="4" borderId="10" xfId="0" applyNumberFormat="1" applyFont="1" applyFill="1" applyBorder="1" applyAlignment="1">
      <x:alignment horizontal="center" vertical="center"/>
    </x:xf>
    <x:xf numFmtId="204" fontId="3" fillId="4" borderId="11" xfId="0" applyNumberFormat="1" applyFont="1" applyFill="1" applyBorder="1" applyAlignment="1">
      <x:alignment horizontal="center" vertical="center"/>
    </x:xf>
    <x:xf numFmtId="204" fontId="3" fillId="4" borderId="12" xfId="0" applyNumberFormat="1" applyFont="1" applyFill="1" applyBorder="1" applyAlignment="1">
      <x:alignment horizontal="center" vertical="center"/>
    </x:xf>
    <x:xf numFmtId="204" fontId="3" fillId="4" borderId="13" xfId="0" applyNumberFormat="1" applyFont="1" applyFill="1" applyBorder="1" applyAlignment="1">
      <x:alignment horizontal="center" vertical="center"/>
    </x:xf>
    <x:xf numFmtId="204" fontId="3" fillId="4" borderId="1" xfId="0" applyNumberFormat="1" applyFont="1" applyFill="1" applyBorder="1" applyAlignment="1">
      <x:alignment horizontal="center" vertical="center"/>
    </x:xf>
    <x:xf numFmtId="204" fontId="3" fillId="4" borderId="14" xfId="0" applyNumberFormat="1" applyFont="1" applyFill="1" applyBorder="1" applyAlignment="1">
      <x:alignment horizontal="center" vertical="center"/>
    </x:xf>
    <x:xf numFmtId="204" fontId="3" fillId="4" borderId="15" xfId="0" applyNumberFormat="1" applyFont="1" applyFill="1" applyBorder="1" applyAlignment="1">
      <x:alignment horizontal="center" vertical="center"/>
    </x:xf>
    <x:xf numFmtId="204" fontId="3" fillId="4" borderId="16" xfId="0" applyNumberFormat="1" applyFont="1" applyFill="1" applyBorder="1" applyAlignment="1">
      <x:alignment horizontal="center" vertical="center"/>
    </x:xf>
    <x:xf numFmtId="204" fontId="3" fillId="4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8" xfId="0" applyNumberFormat="1" applyFont="1" applyFill="1" applyBorder="1"/>
    <x:xf numFmtId="0" fontId="5" fillId="6" borderId="18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horizontal="center" wrapText="1"/>
    </x:xf>
    <x:xf numFmtId="0" fontId="5" fillId="6" borderId="18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9" xfId="0" applyNumberFormat="1" applyFont="1" applyFill="1" applyBorder="1"/>
    <x:xf numFmtId="0" fontId="5" fillId="6" borderId="19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horizont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 applyAlignment="1">
      <x:alignment vertical="center" wrapText="1"/>
    </x:xf>
    <x:xf numFmtId="205" fontId="6" fillId="0" borderId="1" xfId="0" applyNumberFormat="1" applyFont="1" applyFill="1" applyBorder="1" applyAlignment="1">
      <x:alignment vertical="center" wrapText="1"/>
    </x:xf>
    <x:xf numFmtId="206" fontId="6" fillId="0" borderId="0" xfId="0" applyNumberFormat="1" applyFont="1" applyFill="1" applyBorder="1" applyAlignment="1">
      <x:alignment vertical="center" wrapText="1"/>
    </x:xf>
    <x:xf numFmtId="206" fontId="6" fillId="0" borderId="1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3" fontId="6" fillId="0" borderId="1" xfId="0" applyNumberFormat="1" applyFont="1" applyFill="1" applyBorder="1" applyAlignment="1">
      <x:alignment vertical="center" wrapText="1"/>
    </x:xf>
    <x:xf numFmtId="207" fontId="6" fillId="0" borderId="0" xfId="0" applyNumberFormat="1" applyFont="1" applyFill="1" applyBorder="1" applyAlignment="1">
      <x:alignment vertical="center" wrapText="1"/>
    </x:xf>
    <x:xf numFmtId="207" fontId="6" fillId="0" borderId="1" xfId="0" applyNumberFormat="1" applyFont="1" applyFill="1" applyBorder="1" applyAlignment="1">
      <x:alignment vertical="center" wrapText="1"/>
    </x:xf>
    <x:xf numFmtId="208" fontId="6" fillId="0" borderId="0" xfId="0" applyNumberFormat="1" applyFont="1" applyFill="1" applyBorder="1" applyAlignment="1">
      <x:alignment vertical="center" wrapText="1"/>
    </x:xf>
    <x:xf numFmtId="208" fontId="6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200" fontId="3" fillId="10" borderId="2" xfId="0" applyNumberFormat="1" applyFont="1" applyFill="1" applyBorder="1" applyAlignment="1">
      <x:alignment horizontal="center" vertical="center"/>
    </x:xf>
    <x:xf numFmtId="200" fontId="3" fillId="10" borderId="3" xfId="0" applyNumberFormat="1" applyFont="1" applyFill="1" applyBorder="1" applyAlignment="1">
      <x:alignment horizontal="center" vertical="center"/>
    </x:xf>
    <x:xf numFmtId="200" fontId="3" fillId="10" borderId="4" xfId="0" applyNumberFormat="1" applyFont="1" applyFill="1" applyBorder="1" applyAlignment="1">
      <x:alignment horizontal="center" vertical="center"/>
    </x:xf>
    <x:xf numFmtId="200" fontId="3" fillId="10" borderId="5" xfId="0" applyNumberFormat="1" applyFont="1" applyFill="1" applyBorder="1" applyAlignment="1">
      <x:alignment horizontal="center" vertical="center"/>
    </x:xf>
    <x:xf numFmtId="200" fontId="3" fillId="10" borderId="0" xfId="0" applyNumberFormat="1" applyFont="1" applyFill="1" applyBorder="1" applyAlignment="1">
      <x:alignment horizontal="center" vertical="center"/>
    </x:xf>
    <x:xf numFmtId="200" fontId="3" fillId="10" borderId="6" xfId="0" applyNumberFormat="1" applyFont="1" applyFill="1" applyBorder="1" applyAlignment="1">
      <x:alignment horizontal="center" vertical="center"/>
    </x:xf>
    <x:xf numFmtId="200" fontId="3" fillId="10" borderId="7" xfId="0" applyNumberFormat="1" applyFont="1" applyFill="1" applyBorder="1" applyAlignment="1">
      <x:alignment horizontal="center" vertical="center"/>
    </x:xf>
    <x:xf numFmtId="200" fontId="3" fillId="10" borderId="8" xfId="0" applyNumberFormat="1" applyFont="1" applyFill="1" applyBorder="1" applyAlignment="1">
      <x:alignment horizontal="center" vertical="center"/>
    </x:xf>
    <x:xf numFmtId="200" fontId="3" fillId="10" borderId="9" xfId="0" applyNumberFormat="1" applyFont="1" applyFill="1" applyBorder="1" applyAlignment="1">
      <x:alignment horizontal="center" vertical="center"/>
    </x:xf>
    <x:xf numFmtId="200" fontId="3" fillId="10" borderId="20" xfId="0" applyNumberFormat="1" applyFont="1" applyFill="1" applyBorder="1" applyAlignment="1">
      <x:alignment horizontal="center" vertical="center"/>
    </x:xf>
    <x:xf numFmtId="200" fontId="3" fillId="10" borderId="21" xfId="0" applyNumberFormat="1" applyFont="1" applyFill="1" applyBorder="1" applyAlignment="1">
      <x:alignment horizontal="center" vertical="center"/>
    </x:xf>
    <x:xf numFmtId="200" fontId="3" fillId="10" borderId="22" xfId="0" applyNumberFormat="1" applyFont="1" applyFill="1" applyBorder="1" applyAlignment="1">
      <x:alignment horizontal="center" vertical="center"/>
    </x:xf>
    <x:xf numFmtId="200" fontId="3" fillId="10" borderId="23" xfId="0" applyNumberFormat="1" applyFont="1" applyFill="1" applyBorder="1" applyAlignment="1">
      <x:alignment horizontal="center" vertical="center"/>
    </x:xf>
    <x:xf numFmtId="200" fontId="3" fillId="10" xfId="0" applyNumberFormat="1" applyFont="1" applyFill="1" applyBorder="0" applyAlignment="1">
      <x:alignment horizontal="center" vertical="center"/>
    </x:xf>
    <x:xf numFmtId="200" fontId="3" fillId="10" borderId="24" xfId="0" applyNumberFormat="1" applyFont="1" applyFill="1" applyBorder="1" applyAlignment="1">
      <x:alignment horizontal="center" vertical="center"/>
    </x:xf>
    <x:xf numFmtId="200" fontId="3" fillId="10" borderId="25" xfId="0" applyNumberFormat="1" applyFont="1" applyFill="1" applyBorder="1" applyAlignment="1">
      <x:alignment horizontal="center" vertical="center"/>
    </x:xf>
    <x:xf numFmtId="200" fontId="3" fillId="10" borderId="26" xfId="0" applyNumberFormat="1" applyFont="1" applyFill="1" applyBorder="1" applyAlignment="1">
      <x:alignment horizontal="center" vertical="center"/>
    </x:xf>
    <x:xf numFmtId="200" fontId="3" fillId="10" borderId="27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/>
    </x:xf>
    <x:xf numFmtId="201" fontId="3" fillId="10" borderId="2" xfId="0" applyNumberFormat="1" applyFont="1" applyFill="1" applyBorder="1" applyAlignment="1">
      <x:alignment horizontal="center" vertical="center"/>
    </x:xf>
    <x:xf numFmtId="201" fontId="3" fillId="10" borderId="3" xfId="0" applyNumberFormat="1" applyFont="1" applyFill="1" applyBorder="1" applyAlignment="1">
      <x:alignment horizontal="center" vertical="center"/>
    </x:xf>
    <x:xf numFmtId="201" fontId="3" fillId="10" borderId="4" xfId="0" applyNumberFormat="1" applyFont="1" applyFill="1" applyBorder="1" applyAlignment="1">
      <x:alignment horizontal="center" vertical="center"/>
    </x:xf>
    <x:xf numFmtId="201" fontId="3" fillId="10" borderId="5" xfId="0" applyNumberFormat="1" applyFont="1" applyFill="1" applyBorder="1" applyAlignment="1">
      <x:alignment horizontal="center" vertical="center"/>
    </x:xf>
    <x:xf numFmtId="201" fontId="3" fillId="10" borderId="0" xfId="0" applyNumberFormat="1" applyFont="1" applyFill="1" applyBorder="1" applyAlignment="1">
      <x:alignment horizontal="center" vertical="center"/>
    </x:xf>
    <x:xf numFmtId="201" fontId="3" fillId="10" borderId="6" xfId="0" applyNumberFormat="1" applyFont="1" applyFill="1" applyBorder="1" applyAlignment="1">
      <x:alignment horizontal="center" vertical="center"/>
    </x:xf>
    <x:xf numFmtId="201" fontId="3" fillId="10" borderId="7" xfId="0" applyNumberFormat="1" applyFont="1" applyFill="1" applyBorder="1" applyAlignment="1">
      <x:alignment horizontal="center" vertical="center"/>
    </x:xf>
    <x:xf numFmtId="201" fontId="3" fillId="10" borderId="8" xfId="0" applyNumberFormat="1" applyFont="1" applyFill="1" applyBorder="1" applyAlignment="1">
      <x:alignment horizontal="center" vertical="center"/>
    </x:xf>
    <x:xf numFmtId="201" fontId="3" fillId="10" borderId="9" xfId="0" applyNumberFormat="1" applyFont="1" applyFill="1" applyBorder="1" applyAlignment="1">
      <x:alignment horizontal="center" vertical="center"/>
    </x:xf>
    <x:xf numFmtId="201" fontId="3" fillId="10" borderId="20" xfId="0" applyNumberFormat="1" applyFont="1" applyFill="1" applyBorder="1" applyAlignment="1">
      <x:alignment horizontal="center" vertical="center"/>
    </x:xf>
    <x:xf numFmtId="201" fontId="3" fillId="10" borderId="21" xfId="0" applyNumberFormat="1" applyFont="1" applyFill="1" applyBorder="1" applyAlignment="1">
      <x:alignment horizontal="center" vertical="center"/>
    </x:xf>
    <x:xf numFmtId="201" fontId="3" fillId="10" borderId="22" xfId="0" applyNumberFormat="1" applyFont="1" applyFill="1" applyBorder="1" applyAlignment="1">
      <x:alignment horizontal="center" vertical="center"/>
    </x:xf>
    <x:xf numFmtId="201" fontId="3" fillId="10" borderId="23" xfId="0" applyNumberFormat="1" applyFont="1" applyFill="1" applyBorder="1" applyAlignment="1">
      <x:alignment horizontal="center" vertical="center"/>
    </x:xf>
    <x:xf numFmtId="201" fontId="3" fillId="10" xfId="0" applyNumberFormat="1" applyFont="1" applyFill="1" applyBorder="0" applyAlignment="1">
      <x:alignment horizontal="center" vertical="center"/>
    </x:xf>
    <x:xf numFmtId="201" fontId="3" fillId="10" borderId="24" xfId="0" applyNumberFormat="1" applyFont="1" applyFill="1" applyBorder="1" applyAlignment="1">
      <x:alignment horizontal="center" vertical="center"/>
    </x:xf>
    <x:xf numFmtId="201" fontId="3" fillId="10" borderId="25" xfId="0" applyNumberFormat="1" applyFont="1" applyFill="1" applyBorder="1" applyAlignment="1">
      <x:alignment horizontal="center" vertical="center"/>
    </x:xf>
    <x:xf numFmtId="201" fontId="3" fillId="10" borderId="26" xfId="0" applyNumberFormat="1" applyFont="1" applyFill="1" applyBorder="1" applyAlignment="1">
      <x:alignment horizontal="center" vertical="center"/>
    </x:xf>
    <x:xf numFmtId="201" fontId="3" fillId="10" borderId="27" xfId="0" applyNumberFormat="1" applyFont="1" applyFill="1" applyBorder="1" applyAlignment="1">
      <x:alignment horizontal="center" vertical="center"/>
    </x:xf>
    <x:xf numFmtId="202" fontId="3" fillId="10" borderId="2" xfId="0" applyNumberFormat="1" applyFont="1" applyFill="1" applyBorder="1" applyAlignment="1">
      <x:alignment horizontal="center" vertical="center"/>
    </x:xf>
    <x:xf numFmtId="202" fontId="3" fillId="10" borderId="3" xfId="0" applyNumberFormat="1" applyFont="1" applyFill="1" applyBorder="1" applyAlignment="1">
      <x:alignment horizontal="center" vertical="center"/>
    </x:xf>
    <x:xf numFmtId="202" fontId="3" fillId="10" borderId="4" xfId="0" applyNumberFormat="1" applyFont="1" applyFill="1" applyBorder="1" applyAlignment="1">
      <x:alignment horizontal="center" vertical="center"/>
    </x:xf>
    <x:xf numFmtId="202" fontId="3" fillId="10" borderId="5" xfId="0" applyNumberFormat="1" applyFont="1" applyFill="1" applyBorder="1" applyAlignment="1">
      <x:alignment horizontal="center" vertical="center"/>
    </x:xf>
    <x:xf numFmtId="202" fontId="3" fillId="10" borderId="0" xfId="0" applyNumberFormat="1" applyFont="1" applyFill="1" applyBorder="1" applyAlignment="1">
      <x:alignment horizontal="center" vertical="center"/>
    </x:xf>
    <x:xf numFmtId="202" fontId="3" fillId="10" borderId="6" xfId="0" applyNumberFormat="1" applyFont="1" applyFill="1" applyBorder="1" applyAlignment="1">
      <x:alignment horizontal="center" vertical="center"/>
    </x:xf>
    <x:xf numFmtId="202" fontId="3" fillId="10" borderId="7" xfId="0" applyNumberFormat="1" applyFont="1" applyFill="1" applyBorder="1" applyAlignment="1">
      <x:alignment horizontal="center" vertical="center"/>
    </x:xf>
    <x:xf numFmtId="202" fontId="3" fillId="10" borderId="8" xfId="0" applyNumberFormat="1" applyFont="1" applyFill="1" applyBorder="1" applyAlignment="1">
      <x:alignment horizontal="center" vertical="center"/>
    </x:xf>
    <x:xf numFmtId="202" fontId="3" fillId="10" borderId="9" xfId="0" applyNumberFormat="1" applyFont="1" applyFill="1" applyBorder="1" applyAlignment="1">
      <x:alignment horizontal="center" vertical="center"/>
    </x:xf>
    <x:xf numFmtId="202" fontId="3" fillId="10" borderId="20" xfId="0" applyNumberFormat="1" applyFont="1" applyFill="1" applyBorder="1" applyAlignment="1">
      <x:alignment horizontal="center" vertical="center"/>
    </x:xf>
    <x:xf numFmtId="202" fontId="3" fillId="10" borderId="21" xfId="0" applyNumberFormat="1" applyFont="1" applyFill="1" applyBorder="1" applyAlignment="1">
      <x:alignment horizontal="center" vertical="center"/>
    </x:xf>
    <x:xf numFmtId="202" fontId="3" fillId="10" borderId="22" xfId="0" applyNumberFormat="1" applyFont="1" applyFill="1" applyBorder="1" applyAlignment="1">
      <x:alignment horizontal="center" vertical="center"/>
    </x:xf>
    <x:xf numFmtId="202" fontId="3" fillId="10" borderId="23" xfId="0" applyNumberFormat="1" applyFont="1" applyFill="1" applyBorder="1" applyAlignment="1">
      <x:alignment horizontal="center" vertical="center"/>
    </x:xf>
    <x:xf numFmtId="202" fontId="3" fillId="10" xfId="0" applyNumberFormat="1" applyFont="1" applyFill="1" applyBorder="0" applyAlignment="1">
      <x:alignment horizontal="center" vertical="center"/>
    </x:xf>
    <x:xf numFmtId="202" fontId="3" fillId="10" borderId="24" xfId="0" applyNumberFormat="1" applyFont="1" applyFill="1" applyBorder="1" applyAlignment="1">
      <x:alignment horizontal="center" vertical="center"/>
    </x:xf>
    <x:xf numFmtId="202" fontId="3" fillId="10" borderId="25" xfId="0" applyNumberFormat="1" applyFont="1" applyFill="1" applyBorder="1" applyAlignment="1">
      <x:alignment horizontal="center" vertical="center"/>
    </x:xf>
    <x:xf numFmtId="202" fontId="3" fillId="10" borderId="26" xfId="0" applyNumberFormat="1" applyFont="1" applyFill="1" applyBorder="1" applyAlignment="1">
      <x:alignment horizontal="center" vertical="center"/>
    </x:xf>
    <x:xf numFmtId="202" fontId="3" fillId="10" borderId="27" xfId="0" applyNumberFormat="1" applyFont="1" applyFill="1" applyBorder="1" applyAlignment="1">
      <x:alignment horizontal="center" vertical="center"/>
    </x:xf>
    <x:xf numFmtId="203" fontId="3" fillId="10" borderId="2" xfId="0" applyNumberFormat="1" applyFont="1" applyFill="1" applyBorder="1" applyAlignment="1">
      <x:alignment horizontal="center" vertical="center"/>
    </x:xf>
    <x:xf numFmtId="203" fontId="3" fillId="10" borderId="3" xfId="0" applyNumberFormat="1" applyFont="1" applyFill="1" applyBorder="1" applyAlignment="1">
      <x:alignment horizontal="center" vertical="center"/>
    </x:xf>
    <x:xf numFmtId="203" fontId="3" fillId="10" borderId="4" xfId="0" applyNumberFormat="1" applyFont="1" applyFill="1" applyBorder="1" applyAlignment="1">
      <x:alignment horizontal="center" vertical="center"/>
    </x:xf>
    <x:xf numFmtId="203" fontId="3" fillId="10" borderId="5" xfId="0" applyNumberFormat="1" applyFont="1" applyFill="1" applyBorder="1" applyAlignment="1">
      <x:alignment horizontal="center" vertical="center"/>
    </x:xf>
    <x:xf numFmtId="203" fontId="3" fillId="10" borderId="0" xfId="0" applyNumberFormat="1" applyFont="1" applyFill="1" applyBorder="1" applyAlignment="1">
      <x:alignment horizontal="center" vertical="center"/>
    </x:xf>
    <x:xf numFmtId="203" fontId="3" fillId="10" borderId="6" xfId="0" applyNumberFormat="1" applyFont="1" applyFill="1" applyBorder="1" applyAlignment="1">
      <x:alignment horizontal="center" vertical="center"/>
    </x:xf>
    <x:xf numFmtId="203" fontId="3" fillId="10" borderId="7" xfId="0" applyNumberFormat="1" applyFont="1" applyFill="1" applyBorder="1" applyAlignment="1">
      <x:alignment horizontal="center" vertical="center"/>
    </x:xf>
    <x:xf numFmtId="203" fontId="3" fillId="10" borderId="8" xfId="0" applyNumberFormat="1" applyFont="1" applyFill="1" applyBorder="1" applyAlignment="1">
      <x:alignment horizontal="center" vertical="center"/>
    </x:xf>
    <x:xf numFmtId="203" fontId="3" fillId="10" borderId="9" xfId="0" applyNumberFormat="1" applyFont="1" applyFill="1" applyBorder="1" applyAlignment="1">
      <x:alignment horizontal="center" vertical="center"/>
    </x:xf>
    <x:xf numFmtId="203" fontId="3" fillId="10" borderId="20" xfId="0" applyNumberFormat="1" applyFont="1" applyFill="1" applyBorder="1" applyAlignment="1">
      <x:alignment horizontal="center" vertical="center"/>
    </x:xf>
    <x:xf numFmtId="203" fontId="3" fillId="10" borderId="21" xfId="0" applyNumberFormat="1" applyFont="1" applyFill="1" applyBorder="1" applyAlignment="1">
      <x:alignment horizontal="center" vertical="center"/>
    </x:xf>
    <x:xf numFmtId="203" fontId="3" fillId="10" borderId="22" xfId="0" applyNumberFormat="1" applyFont="1" applyFill="1" applyBorder="1" applyAlignment="1">
      <x:alignment horizontal="center" vertical="center"/>
    </x:xf>
    <x:xf numFmtId="203" fontId="3" fillId="10" borderId="23" xfId="0" applyNumberFormat="1" applyFont="1" applyFill="1" applyBorder="1" applyAlignment="1">
      <x:alignment horizontal="center" vertical="center"/>
    </x:xf>
    <x:xf numFmtId="203" fontId="3" fillId="10" xfId="0" applyNumberFormat="1" applyFont="1" applyFill="1" applyBorder="0" applyAlignment="1">
      <x:alignment horizontal="center" vertical="center"/>
    </x:xf>
    <x:xf numFmtId="203" fontId="3" fillId="10" borderId="24" xfId="0" applyNumberFormat="1" applyFont="1" applyFill="1" applyBorder="1" applyAlignment="1">
      <x:alignment horizontal="center" vertical="center"/>
    </x:xf>
    <x:xf numFmtId="203" fontId="3" fillId="10" borderId="25" xfId="0" applyNumberFormat="1" applyFont="1" applyFill="1" applyBorder="1" applyAlignment="1">
      <x:alignment horizontal="center" vertical="center"/>
    </x:xf>
    <x:xf numFmtId="203" fontId="3" fillId="10" borderId="26" xfId="0" applyNumberFormat="1" applyFont="1" applyFill="1" applyBorder="1" applyAlignment="1">
      <x:alignment horizontal="center" vertical="center"/>
    </x:xf>
    <x:xf numFmtId="203" fontId="3" fillId="10" borderId="27" xfId="0" applyNumberFormat="1" applyFont="1" applyFill="1" applyBorder="1" applyAlignment="1">
      <x:alignment horizontal="center" vertical="center"/>
    </x:xf>
    <x:xf numFmtId="204" fontId="3" fillId="10" borderId="5" xfId="0" applyNumberFormat="1" applyFont="1" applyFill="1" applyBorder="1" applyAlignment="1">
      <x:alignment horizontal="center" vertical="center"/>
    </x:xf>
    <x:xf numFmtId="204" fontId="3" fillId="10" borderId="0" xfId="0" applyNumberFormat="1" applyFont="1" applyFill="1" applyBorder="1" applyAlignment="1">
      <x:alignment horizontal="center" vertical="center"/>
    </x:xf>
    <x:xf numFmtId="204" fontId="3" fillId="10" borderId="6" xfId="0" applyNumberFormat="1" applyFont="1" applyFill="1" applyBorder="1" applyAlignment="1">
      <x:alignment horizontal="center" vertical="center"/>
    </x:xf>
    <x:xf numFmtId="204" fontId="3" fillId="10" borderId="7" xfId="0" applyNumberFormat="1" applyFont="1" applyFill="1" applyBorder="1" applyAlignment="1">
      <x:alignment horizontal="center" vertical="center"/>
    </x:xf>
    <x:xf numFmtId="204" fontId="3" fillId="10" borderId="8" xfId="0" applyNumberFormat="1" applyFont="1" applyFill="1" applyBorder="1" applyAlignment="1">
      <x:alignment horizontal="center" vertical="center"/>
    </x:xf>
    <x:xf numFmtId="204" fontId="3" fillId="10" borderId="9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/>
    </x:xf>
    <x:xf numFmtId="204" fontId="3" fillId="10" borderId="20" xfId="0" applyNumberFormat="1" applyFont="1" applyFill="1" applyBorder="1" applyAlignment="1">
      <x:alignment horizontal="center" vertical="center"/>
    </x:xf>
    <x:xf numFmtId="204" fontId="3" fillId="10" borderId="21" xfId="0" applyNumberFormat="1" applyFont="1" applyFill="1" applyBorder="1" applyAlignment="1">
      <x:alignment horizontal="center" vertical="center"/>
    </x:xf>
    <x:xf numFmtId="204" fontId="3" fillId="10" borderId="22" xfId="0" applyNumberFormat="1" applyFont="1" applyFill="1" applyBorder="1" applyAlignment="1">
      <x:alignment horizontal="center" vertical="center"/>
    </x:xf>
    <x:xf numFmtId="204" fontId="3" fillId="10" borderId="23" xfId="0" applyNumberFormat="1" applyFont="1" applyFill="1" applyBorder="1" applyAlignment="1">
      <x:alignment horizontal="center" vertical="center"/>
    </x:xf>
    <x:xf numFmtId="204" fontId="3" fillId="10" xfId="0" applyNumberFormat="1" applyFont="1" applyFill="1" applyBorder="0" applyAlignment="1">
      <x:alignment horizontal="center" vertical="center"/>
    </x:xf>
    <x:xf numFmtId="204" fontId="3" fillId="10" borderId="24" xfId="0" applyNumberFormat="1" applyFont="1" applyFill="1" applyBorder="1" applyAlignment="1">
      <x:alignment horizontal="center" vertical="center"/>
    </x:xf>
    <x:xf numFmtId="204" fontId="3" fillId="10" borderId="28" xfId="0" applyNumberFormat="1" applyFont="1" applyFill="1" applyBorder="1" applyAlignment="1">
      <x:alignment horizontal="center" vertical="center"/>
    </x:xf>
    <x:xf numFmtId="204" fontId="3" fillId="10" borderId="29" xfId="0" applyNumberFormat="1" applyFont="1" applyFill="1" applyBorder="1" applyAlignment="1">
      <x:alignment horizontal="center" vertical="center"/>
    </x:xf>
    <x:xf numFmtId="0" fontId="3" fillId="10" borderId="25" xfId="0" applyNumberFormat="1" applyFont="1" applyFill="1" applyBorder="1" applyAlignment="1">
      <x:alignment horizontal="center" vertical="center"/>
    </x:xf>
    <x:xf numFmtId="0" fontId="3" fillId="10" borderId="26" xfId="0" applyNumberFormat="1" applyFont="1" applyFill="1" applyBorder="1" applyAlignment="1">
      <x:alignment horizontal="center" vertical="center"/>
    </x:xf>
    <x:xf numFmtId="0" fontId="3" fillId="10" borderId="27" xfId="0" applyNumberFormat="1" applyFont="1" applyFill="1" applyBorder="1" applyAlignment="1">
      <x:alignment horizontal="center" vertical="center"/>
    </x:xf>
    <x:xf numFmtId="204" fontId="3" fillId="10" borderId="25" xfId="0" applyNumberFormat="1" applyFont="1" applyFill="1" applyBorder="1" applyAlignment="1">
      <x:alignment horizontal="center" vertical="center"/>
    </x:xf>
    <x:xf numFmtId="204" fontId="3" fillId="10" borderId="26" xfId="0" applyNumberFormat="1" applyFont="1" applyFill="1" applyBorder="1" applyAlignment="1">
      <x:alignment horizontal="center" vertical="center"/>
    </x:xf>
    <x:xf numFmtId="204" fontId="3" fillId="10" borderId="27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202" fontId="3" fillId="10" borderId="28" xfId="0" applyNumberFormat="1" applyFont="1" applyFill="1" applyBorder="1" applyAlignment="1">
      <x:alignment horizontal="center" vertical="center"/>
    </x:xf>
    <x:xf numFmtId="202" fontId="3" fillId="10" borderId="29" xfId="0" applyNumberFormat="1" applyFont="1" applyFill="1" applyBorder="1" applyAlignment="1">
      <x:alignment horizontal="center" vertical="center"/>
    </x:xf>
    <x:xf numFmtId="203" fontId="3" fillId="10" borderId="28" xfId="0" applyNumberFormat="1" applyFont="1" applyFill="1" applyBorder="1" applyAlignment="1">
      <x:alignment horizontal="center" vertical="center"/>
    </x:xf>
    <x:xf numFmtId="203" fontId="3" fillId="10" borderId="29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5" fillId="12" borderId="30" xfId="0" applyNumberFormat="1" applyFont="1" applyFill="1" applyBorder="1" applyAlignment="1">
      <x:alignment vertical="center" wrapText="1"/>
    </x:xf>
    <x:xf numFmtId="0" fontId="5" fillId="12" borderId="30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5" fillId="12" borderId="8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2" fillId="12" borderId="8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/>
    <x:xf numFmtId="0" fontId="12" fillId="12" borderId="8" xfId="0" applyNumberFormat="1" applyFont="1" applyFill="1" applyBorder="1" applyAlignment="1">
      <x:alignment horizontal="left" vertical="center" wrapText="1"/>
    </x:xf>
    <x:xf numFmtId="0" fontId="12" fillId="12" borderId="0" xfId="0" applyNumberFormat="1" applyFont="1" applyFill="1" applyBorder="1" applyAlignment="1">
      <x:alignment horizontal="left"/>
    </x:xf>
    <x:xf numFmtId="0" fontId="12" fillId="12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horizontal="left"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/>
    <x:xf numFmtId="0" fontId="6" fillId="11" borderId="26" xfId="0" applyNumberFormat="1" applyFont="1" applyFill="1" applyBorder="1" applyAlignment="1">
      <x:alignment vertical="center" wrapText="1"/>
    </x:xf>
    <x:xf numFmtId="0" fontId="6" fillId="11" borderId="26" xfId="0" applyNumberFormat="1" applyFont="1" applyFill="1" applyBorder="1"/>
    <x:xf numFmtId="0" fontId="6" fillId="11" borderId="26" xfId="0" applyNumberFormat="1" applyFont="1" applyFill="1" applyBorder="1" applyAlignment="1">
      <x:alignment wrapText="1"/>
    </x:xf>
    <x:xf numFmtId="0" fontId="2" fillId="11" borderId="26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26" xfId="0" applyNumberFormat="1" applyFont="1" applyFill="1" applyBorder="1" applyAlignment="1">
      <x:alignment vertical="center" wrapText="1"/>
    </x:xf>
    <x:xf numFmtId="0" fontId="6" fillId="10" borderId="26" xfId="0" applyNumberFormat="1" applyFont="1" applyFill="1" applyBorder="1"/>
    <x:xf numFmtId="0" fontId="6" fillId="10" borderId="26" xfId="0" applyNumberFormat="1" applyFont="1" applyFill="1" applyBorder="1" applyAlignment="1">
      <x:alignment wrapText="1"/>
    </x:xf>
    <x:xf numFmtId="0" fontId="2" fillId="10" borderId="26" xfId="0" applyNumberFormat="1" applyFont="1" applyFill="1" applyBorder="1" applyAlignment="1">
      <x:alignment vertical="center" wrapText="1"/>
    </x:xf>
    <x:xf numFmtId="209" fontId="6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200" fontId="3" fillId="4" xfId="0" applyNumberFormat="1" applyFont="1" applyFill="1" applyBorder="0" applyAlignment="1">
      <x:alignment horizontal="center" vertical="center"/>
    </x:xf>
    <x:xf numFmtId="201" fontId="3" fillId="4" xfId="0" applyNumberFormat="1" applyFont="1" applyFill="1" applyBorder="0" applyAlignment="1">
      <x:alignment horizontal="center" vertical="center"/>
    </x:xf>
    <x:xf numFmtId="202" fontId="3" fillId="4" xfId="0" applyNumberFormat="1" applyFont="1" applyFill="1" applyBorder="0" applyAlignment="1">
      <x:alignment horizontal="center" vertical="center"/>
    </x:xf>
    <x:xf numFmtId="203" fontId="3" fillId="4" xfId="0" applyNumberFormat="1" applyFont="1" applyFill="1" applyBorder="0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4" fontId="3" fillId="4" xfId="0" applyNumberFormat="1" applyFont="1" applyFill="1" applyBorder="0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left" vertical="center" wrapText="1"/>
    </x:xf>
    <x:xf numFmtId="0" fontId="12" fillId="6" borderId="0" xfId="0" applyNumberFormat="1" applyFont="1" applyFill="1" applyBorder="1" applyAlignment="1">
      <x:alignment horizontal="left"/>
    </x:xf>
    <x:xf numFmtId="0" fontId="12" fillId="6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2E2E"/>
      </x:font>
      <x:fill>
        <x:patternFill>
          <x:bgColor rgb="FFFCE2E0"/>
        </x:patternFill>
      </x:fill>
    </x:dxf>
    <x:dxf>
      <x:font>
        <x:b/>
        <x:color rgb="FF8A6500"/>
      </x:font>
      <x:fill>
        <x:patternFill>
          <x:bgColor rgb="FFFFF2CC"/>
        </x:patternFill>
      </x:fill>
    </x:dxf>
    <x:dxf>
      <x:font>
        <x:b/>
        <x:color rgb="FF2F6B3F"/>
      </x:font>
      <x:fill>
        <x:patternFill>
          <x:bgColor rgb="FFDDEFE2"/>
        </x:patternFill>
      </x:fill>
    </x:dxf>
    <x:dxf>
      <x:font>
        <x:b/>
        <x:color rgb="FF9C2E2E"/>
      </x:font>
      <x:fill>
        <x:patternFill>
          <x:bgColor rgb="FFFCE2E0"/>
        </x:patternFill>
      </x:fill>
    </x:dxf>
    <x:dxf>
      <x:font>
        <x:b/>
        <x:color rgb="FF9C2E2E"/>
      </x:font>
      <x:fill>
        <x:patternFill>
          <x:bgColor rgb="FFFCE2E0"/>
        </x:patternFill>
      </x:fill>
    </x:dxf>
    <x:dxf>
      <x:font>
        <x:b/>
        <x:color rgb="FF8A6500"/>
      </x:font>
      <x:fill>
        <x:patternFill>
          <x:bgColor rgb="FFFFF2CC"/>
        </x:patternFill>
      </x:fill>
    </x:dxf>
    <x:dxf>
      <x:font>
        <x:b/>
        <x:color rgb="FF2F6B3F"/>
      </x:font>
      <x:fill>
        <x:patternFill>
          <x:bgColor rgb="FFDDEFE2"/>
        </x:patternFill>
      </x:fill>
    </x:dxf>
    <x:dxf>
      <x:font>
        <x:b/>
        <x:color rgb="FF9C2E2E"/>
      </x:font>
      <x:fill>
        <x:patternFill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80736dd0f4c28" /><Relationship Type="http://schemas.openxmlformats.org/officeDocument/2006/relationships/theme" Target="/xl/theme/theme1.xml" Id="R4709f0e769b143dd" /><Relationship Type="http://schemas.openxmlformats.org/officeDocument/2006/relationships/sharedStrings" Target="/xl/sharedStrings.xml" Id="R99eeb1c05a304ae9" /><Relationship Type="http://schemas.openxmlformats.org/officeDocument/2006/relationships/worksheet" Target="/xl/worksheets/sheet1.xml" Id="R6a933684b7d5494c" /><Relationship Type="http://schemas.openxmlformats.org/officeDocument/2006/relationships/worksheet" Target="/xl/worksheets/sheet2.xml" Id="Rde6220e1e5ce4ba1" /><Relationship Type="http://schemas.openxmlformats.org/officeDocument/2006/relationships/worksheet" Target="/xl/worksheets/sheet3.xml" Id="Rf6dd296f21fa45b7" /><Relationship Type="http://schemas.openxmlformats.org/officeDocument/2006/relationships/worksheet" Target="/xl/worksheets/sheet4.xml" Id="Rc8360b8000124883" /><Relationship Type="http://schemas.openxmlformats.org/officeDocument/2006/relationships/worksheet" Target="/xl/worksheets/sheet5.xml" Id="R68af6b7e11f844af" /><Relationship Type="http://schemas.openxmlformats.org/officeDocument/2006/relationships/worksheet" Target="/xl/worksheets/sheet6.xml" Id="R7a29fe7b70954df7" /><Relationship Type="http://schemas.openxmlformats.org/officeDocument/2006/relationships/worksheet" Target="/xl/worksheets/sheet7.xml" Id="R9b84a1b79e2a4a67" /><Relationship Type="http://schemas.openxmlformats.org/officeDocument/2006/relationships/worksheet" Target="/xl/worksheets/sheet8.xml" Id="Rc20b2d203c3741ae" /><Relationship Type="http://schemas.openxmlformats.org/officeDocument/2006/relationships/worksheet" Target="/xl/worksheets/sheet9.xml" Id="Re9c6dcc9dcb34221" /><Relationship Type="http://schemas.openxmlformats.org/officeDocument/2006/relationships/worksheet" Target="/xl/worksheets/sheet10.xml" Id="R9e6e6dc4f10040d7" /><Relationship Type="http://schemas.openxmlformats.org/officeDocument/2006/relationships/worksheet" Target="/xl/worksheets/sheet11.xml" Id="Ra995ae103caf4c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125b62ecb540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97fd94a4e30468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ec26fb1e1a442d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0377ac950ff402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f6e7afe15bd4aa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b975e26de24541de" /><Relationship Type="http://schemas.openxmlformats.org/officeDocument/2006/relationships/chart" Target="/xl/drawings/charts/chart7.xml" Id="R24fa5169713f40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 Workflow Health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cat>
            <c:strRef>
              <c:f>'Executive_Summary'!$A$19:$A$21</c:f>
              <c:strCache>
                <c:ptCount val="0"/>
              </c:strCache>
            </c:strRef>
          </c:cat>
          <c:val>
            <c:numRef>
              <c:f>'Executive_Summary'!$B$19:$B$21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RFI Response Days by Discipline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RFI_Count</c:v>
          </c:tx>
          <c:cat>
            <c:strRef>
              <c:f>'RFI_Discipline'!$A$6:$A$15</c:f>
              <c:strCache>
                <c:ptCount val="0"/>
              </c:strCache>
            </c:strRef>
          </c:cat>
          <c:val>
            <c:numRef>
              <c:f>'RFI_Discipline'!$B$6:$B$15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Responded_Count</c:v>
          </c:tx>
          <c:cat>
            <c:strRef>
              <c:f>'RFI_Discipline'!$A$6:$A$15</c:f>
              <c:strCache>
                <c:ptCount val="0"/>
              </c:strCache>
            </c:strRef>
          </c:cat>
          <c:val>
            <c:numRef>
              <c:f>'RFI_Discipline'!$C$6:$C$15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Avg_Response_Days</c:v>
          </c:tx>
          <c:cat>
            <c:strRef>
              <c:f>'RFI_Discipline'!$A$6:$A$15</c:f>
              <c:strCache>
                <c:ptCount val="0"/>
              </c:strCache>
            </c:strRef>
          </c:cat>
          <c:val>
            <c:numRef>
              <c:f>'RFI_Discipline'!$D$6:$D$15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RFI Volume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RFI_Count</c:v>
          </c:tx>
          <c:cat>
            <c:strRef>
              <c:f>'RFI_Type'!$A$6:$A$12</c:f>
              <c:strCache>
                <c:ptCount val="0"/>
              </c:strCache>
            </c:strRef>
          </c:cat>
          <c:val>
            <c:numRef>
              <c:f>'RFI_Type'!$B$6:$B$12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Approved Value and Pending Exposure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Change_Count</c:v>
          </c:tx>
          <c:cat>
            <c:strRef>
              <c:f>'Change_Category'!$A$6:$A$14</c:f>
              <c:strCache>
                <c:ptCount val="0"/>
              </c:strCache>
            </c:strRef>
          </c:cat>
          <c:val>
            <c:numRef>
              <c:f>'Change_Category'!$B$6:$B$14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Approved_Count</c:v>
          </c:tx>
          <c:cat>
            <c:strRef>
              <c:f>'Change_Category'!$A$6:$A$14</c:f>
              <c:strCache>
                <c:ptCount val="0"/>
              </c:strCache>
            </c:strRef>
          </c:cat>
          <c:val>
            <c:numRef>
              <c:f>'Change_Category'!$C$6:$C$14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Pending_Count</c:v>
          </c:tx>
          <c:cat>
            <c:strRef>
              <c:f>'Change_Category'!$A$6:$A$14</c:f>
              <c:strCache>
                <c:ptCount val="0"/>
              </c:strCache>
            </c:strRef>
          </c:cat>
          <c:val>
            <c:numRef>
              <c:f>'Change_Category'!$D$6:$D$14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Approved_Value</c:v>
          </c:tx>
          <c:cat>
            <c:strRef>
              <c:f>'Change_Category'!$A$6:$A$14</c:f>
              <c:strCache>
                <c:ptCount val="0"/>
              </c:strCache>
            </c:strRef>
          </c:cat>
          <c:val>
            <c:numRef>
              <c:f>'Change_Category'!$E$6:$E$14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Pending_Exposure</c:v>
          </c:tx>
          <c:cat>
            <c:strRef>
              <c:f>'Change_Category'!$A$6:$A$14</c:f>
              <c:strCache>
                <c:ptCount val="0"/>
              </c:strCache>
            </c:strRef>
          </c:cat>
          <c:val>
            <c:numRef>
              <c:f>'Change_Category'!$F$6:$F$14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Highest Total Workflow Stage Days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Assigned_To_Role</c:v>
          </c:tx>
          <c:cat>
            <c:strRef>
              <c:f>'Workflow_Bottlenecks'!$B$6:$B$15</c:f>
              <c:strCache>
                <c:ptCount val="0"/>
              </c:strCache>
            </c:strRef>
          </c:cat>
          <c:val>
            <c:numRef>
              <c:f>'Workflow_Bottlenecks'!$C$6:$C$15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Event_Count</c:v>
          </c:tx>
          <c:cat>
            <c:strRef>
              <c:f>'Workflow_Bottlenecks'!$B$6:$B$15</c:f>
              <c:strCache>
                <c:ptCount val="0"/>
              </c:strCache>
            </c:strRef>
          </c:cat>
          <c:val>
            <c:numRef>
              <c:f>'Workflow_Bottlenecks'!$D$6:$D$15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Avg_Stage_Days</c:v>
          </c:tx>
          <c:cat>
            <c:strRef>
              <c:f>'Workflow_Bottlenecks'!$B$6:$B$15</c:f>
              <c:strCache>
                <c:ptCount val="0"/>
              </c:strCache>
            </c:strRef>
          </c:cat>
          <c:val>
            <c:numRef>
              <c:f>'Workflow_Bottlenecks'!$E$6:$E$15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Total_Stage_Days</c:v>
          </c:tx>
          <c:cat>
            <c:strRef>
              <c:f>'Workflow_Bottlenecks'!$B$6:$B$15</c:f>
              <c:strCache>
                <c:ptCount val="0"/>
              </c:strCache>
            </c:strRef>
          </c:cat>
          <c:val>
            <c:numRef>
              <c:f>'Workflow_Bottlenecks'!$F$6:$F$15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Owner Decision Profile: RFI and Approval Cycle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RFI_Count</c:v>
          </c:tx>
          <c:cat>
            <c:strRef>
              <c:f>'Segment_Analysis'!$B$6:$B$8</c:f>
              <c:strCache>
                <c:ptCount val="0"/>
              </c:strCache>
            </c:strRef>
          </c:cat>
          <c:val>
            <c:numRef>
              <c:f>'Segment_Analysis'!$C$6:$C$8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Avg_RFI_Response_Days</c:v>
          </c:tx>
          <c:cat>
            <c:strRef>
              <c:f>'Segment_Analysis'!$B$6:$B$8</c:f>
              <c:strCache>
                <c:ptCount val="0"/>
              </c:strCache>
            </c:strRef>
          </c:cat>
          <c:val>
            <c:numRef>
              <c:f>'Segment_Analysis'!$D$6:$D$8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On_Time_Rate_Pct</c:v>
          </c:tx>
          <c:cat>
            <c:strRef>
              <c:f>'Segment_Analysis'!$B$6:$B$8</c:f>
              <c:strCache>
                <c:ptCount val="0"/>
              </c:strCache>
            </c:strRef>
          </c:cat>
          <c:val>
            <c:numRef>
              <c:f>'Segment_Analysis'!$E$6:$E$8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Change_Count</c:v>
          </c:tx>
          <c:cat>
            <c:strRef>
              <c:f>'Segment_Analysis'!$B$6:$B$8</c:f>
              <c:strCache>
                <c:ptCount val="0"/>
              </c:strCache>
            </c:strRef>
          </c:cat>
          <c:val>
            <c:numRef>
              <c:f>'Segment_Analysis'!$F$6:$F$8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Avg_Approval_Cycle_Days</c:v>
          </c:tx>
          <c:cat>
            <c:strRef>
              <c:f>'Segment_Analysis'!$B$6:$B$8</c:f>
              <c:strCache>
                <c:ptCount val="0"/>
              </c:strCache>
            </c:strRef>
          </c:cat>
          <c:val>
            <c:numRef>
              <c:f>'Segment_Analysis'!$G$6:$G$8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RFI and Change Cycle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RFI_Count</c:v>
          </c:tx>
          <c:cat>
            <c:strRef>
              <c:f>'Segment_Analysis'!$A$16:$A$19</c:f>
              <c:strCache>
                <c:ptCount val="0"/>
              </c:strCache>
            </c:strRef>
          </c:cat>
          <c:val>
            <c:numRef>
              <c:f>'Segment_Analysis'!$B$16:$B$19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Avg_RFI_Response_Days</c:v>
          </c:tx>
          <c:cat>
            <c:strRef>
              <c:f>'Segment_Analysis'!$A$16:$A$19</c:f>
              <c:strCache>
                <c:ptCount val="0"/>
              </c:strCache>
            </c:strRef>
          </c:cat>
          <c:val>
            <c:numRef>
              <c:f>'Segment_Analysis'!$C$16:$C$19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On_Time_Rate_Pct</c:v>
          </c:tx>
          <c:cat>
            <c:strRef>
              <c:f>'Segment_Analysis'!$A$16:$A$19</c:f>
              <c:strCache>
                <c:ptCount val="0"/>
              </c:strCache>
            </c:strRef>
          </c:cat>
          <c:val>
            <c:numRef>
              <c:f>'Segment_Analysis'!$D$16:$D$19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Change_Count</c:v>
          </c:tx>
          <c:cat>
            <c:strRef>
              <c:f>'Segment_Analysis'!$A$16:$A$19</c:f>
              <c:strCache>
                <c:ptCount val="0"/>
              </c:strCache>
            </c:strRef>
          </c:cat>
          <c:val>
            <c:numRef>
              <c:f>'Segment_Analysis'!$E$16:$E$19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Approved_Value</c:v>
          </c:tx>
          <c:cat>
            <c:strRef>
              <c:f>'Segment_Analysis'!$A$16:$A$19</c:f>
              <c:strCache>
                <c:ptCount val="0"/>
              </c:strCache>
            </c:strRef>
          </c:cat>
          <c:val>
            <c:numRef>
              <c:f>'Segment_Analysis'!$F$16:$F$19</c:f>
              <c:numCache>
                <c:formatCode>$#,##0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Avg_Approval_Cycle_Days</c:v>
          </c:tx>
          <c:cat>
            <c:strRef>
              <c:f>'Segment_Analysis'!$A$16:$A$19</c:f>
              <c:strCache>
                <c:ptCount val="0"/>
              </c:strCache>
            </c:strRef>
          </c:cat>
          <c:val>
            <c:numRef>
              <c:f>'Segment_Analysis'!$G$16:$G$19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125b62ecb540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7fd94a4e30468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c26fb1e1a442d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377ac950ff402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e7afe15bd4aa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75e26de24541de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18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fa5169713f40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5" name="ExecutiveHealthTable" displayName="ExecutiveHealthTable" ref="A18:B21" headerRowCount="1">
  <x:tableColumns count="2">
    <x:tableColumn id="1" name="Workflow Health"/>
    <x:tableColumn id="2" name="Projects"/>
  </x:tableColumns>
  <x:tableStyleInfo name="TableStyleMedium2" showRowStripes="1"/>
</x:table>
</file>

<file path=xl/tables/table2.xml><?xml version="1.0" encoding="utf-8"?>
<x:table xmlns:x="http://schemas.openxmlformats.org/spreadsheetml/2006/main" id="16" name="ExecutiveTopPriorityTable" displayName="ExecutiveTopPriorityTable" ref="A41:G51" headerRowCount="1">
  <x:tableColumns count="7">
    <x:tableColumn id="1" name="Project ID"/>
    <x:tableColumn id="2" name="Project"/>
    <x:tableColumn id="3" name="Risk Score"/>
    <x:tableColumn id="4" name="Health"/>
    <x:tableColumn id="5" name="Avg RFI Days"/>
    <x:tableColumn id="6" name="Avg Approval Days"/>
    <x:tableColumn id="7" name="Pending / Budget"/>
  </x:tableColumns>
  <x:tableStyleInfo name="TableStyleMedium2" showRowStripes="1"/>
</x:table>
</file>

<file path=xl/tables/table3.xml><?xml version="1.0" encoding="utf-8"?>
<x:table xmlns:x="http://schemas.openxmlformats.org/spreadsheetml/2006/main" id="4" name="ProjectRiskTable" displayName="ProjectRiskTable" ref="A5:X95" headerRowCount="1">
  <x:tableColumns count="24">
    <x:tableColumn id="1" name="Project ID"/>
    <x:tableColumn id="2" name="Project Name"/>
    <x:tableColumn id="3" name="Project Type"/>
    <x:tableColumn id="4" name="Delivery Method"/>
    <x:tableColumn id="5" name="Budget"/>
    <x:tableColumn id="6" name="RFI Count"/>
    <x:tableColumn id="7" name="Avg Response Days"/>
    <x:tableColumn id="8" name="On-Time Rate"/>
    <x:tableColumn id="9" name="Overdue Open Rate"/>
    <x:tableColumn id="10" name="High/Critical Overdue Rate"/>
    <x:tableColumn id="11" name="Avg Approval Days"/>
    <x:tableColumn id="12" name="Pending Exposure"/>
    <x:tableColumn id="13" name="Pending / Budget"/>
    <x:tableColumn id="14" name="Forecast Lag Days"/>
    <x:tableColumn id="15" name="Not Incorporated Rate"/>
    <x:tableColumn id="16" name="Response Pts"/>
    <x:tableColumn id="17" name="Overdue Pts"/>
    <x:tableColumn id="18" name="High/Critical Pts"/>
    <x:tableColumn id="19" name="Approval Pts"/>
    <x:tableColumn id="20" name="Pending Pts"/>
    <x:tableColumn id="21" name="Forecast Pts"/>
    <x:tableColumn id="22" name="Not Incorporated Pts"/>
    <x:tableColumn id="23" name="Risk Score"/>
    <x:tableColumn id="24" name="Health"/>
  </x:tableColumns>
  <x:tableStyleInfo name="TableStyleMedium2" showRowStripes="1"/>
</x:table>
</file>

<file path=xl/tables/table4.xml><?xml version="1.0" encoding="utf-8"?>
<x:table xmlns:x="http://schemas.openxmlformats.org/spreadsheetml/2006/main" id="5" name="RFIDisciplineTable" displayName="RFIDisciplineTable" ref="A5:K15" headerRowCount="1">
  <x:tableColumns count="11">
    <x:tableColumn id="1" name="Discipline"/>
    <x:tableColumn id="2" name="RFI_Count"/>
    <x:tableColumn id="3" name="Responded_Count"/>
    <x:tableColumn id="4" name="Avg_Response_Days"/>
    <x:tableColumn id="5" name="On_Time_Rate_Pct"/>
    <x:tableColumn id="6" name="Overdue_Open_Count"/>
    <x:tableColumn id="7" name="RFI_to_Change_Rate_Pct"/>
    <x:tableColumn id="8" name="Cost_Impacted_Count"/>
    <x:tableColumn id="9" name="Schedule_Impacted_Count"/>
    <x:tableColumn id="10" name="Actual_Cost_Impact"/>
    <x:tableColumn id="11" name="Actual_Schedule_Days"/>
  </x:tableColumns>
  <x:tableStyleInfo name="TableStyleMedium2" showRowStripes="1"/>
</x:table>
</file>

<file path=xl/tables/table5.xml><?xml version="1.0" encoding="utf-8"?>
<x:table xmlns:x="http://schemas.openxmlformats.org/spreadsheetml/2006/main" id="6" name="RFITypeTable" displayName="RFITypeTable" ref="A5:J12" headerRowCount="1">
  <x:tableColumns count="10">
    <x:tableColumn id="1" name="RFI_Type"/>
    <x:tableColumn id="2" name="RFI_Count"/>
    <x:tableColumn id="3" name="Avg_Response_Days"/>
    <x:tableColumn id="4" name="On_Time_Rate_Pct"/>
    <x:tableColumn id="5" name="Overdue_Open_Count"/>
    <x:tableColumn id="6" name="RFI_to_Change_Rate_Pct"/>
    <x:tableColumn id="7" name="Cost_Impacted_Count"/>
    <x:tableColumn id="8" name="Schedule_Impacted_Count"/>
    <x:tableColumn id="9" name="Actual_Cost_Impact"/>
    <x:tableColumn id="10" name="Actual_Schedule_Days"/>
  </x:tableColumns>
  <x:tableStyleInfo name="TableStyleMedium2" showRowStripes="1"/>
</x:table>
</file>

<file path=xl/tables/table6.xml><?xml version="1.0" encoding="utf-8"?>
<x:table xmlns:x="http://schemas.openxmlformats.org/spreadsheetml/2006/main" id="7" name="ChangeCategoryTable" displayName="ChangeCategoryTable" ref="A5:J14" headerRowCount="1">
  <x:tableColumns count="10">
    <x:tableColumn id="1" name="Change_Category"/>
    <x:tableColumn id="2" name="Change_Count"/>
    <x:tableColumn id="3" name="Approved_Count"/>
    <x:tableColumn id="4" name="Pending_Count"/>
    <x:tableColumn id="5" name="Approved_Value"/>
    <x:tableColumn id="6" name="Pending_Exposure"/>
    <x:tableColumn id="7" name="Avg_Approval_Days"/>
    <x:tableColumn id="8" name="Approved_Schedule_Days"/>
    <x:tableColumn id="9" name="Linked_Change_Count"/>
    <x:tableColumn id="10" name="Avg_Forecast_Lag_Days"/>
  </x:tableColumns>
  <x:tableStyleInfo name="TableStyleMedium2" showRowStripes="1"/>
</x:table>
</file>

<file path=xl/tables/table7.xml><?xml version="1.0" encoding="utf-8"?>
<x:table xmlns:x="http://schemas.openxmlformats.org/spreadsheetml/2006/main" id="8" name="WorkflowBottleneckTable" displayName="WorkflowBottleneckTable" ref="A5:H28" headerRowCount="1">
  <x:tableColumns count="8">
    <x:tableColumn id="1" name="Item_Type"/>
    <x:tableColumn id="2" name="To_Status"/>
    <x:tableColumn id="3" name="Assigned_To_Role"/>
    <x:tableColumn id="4" name="Event_Count"/>
    <x:tableColumn id="5" name="Avg_Stage_Days"/>
    <x:tableColumn id="6" name="Total_Stage_Days"/>
    <x:tableColumn id="7" name="Handoff_Count"/>
    <x:tableColumn id="8" name="Revision_Loop_Count"/>
  </x:tableColumns>
  <x:tableStyleInfo name="TableStyleMedium2" showRowStripes="1"/>
</x:table>
</file>

<file path=xl/tables/table8.xml><?xml version="1.0" encoding="utf-8"?>
<x:table xmlns:x="http://schemas.openxmlformats.org/spreadsheetml/2006/main" id="9" name="SegmentAnalysisTable" displayName="SegmentAnalysisTable" ref="A5:H11" headerRowCount="1">
  <x:tableColumns count="8">
    <x:tableColumn id="1" name="Segment_Type"/>
    <x:tableColumn id="2" name="Segment"/>
    <x:tableColumn id="3" name="RFI_Count"/>
    <x:tableColumn id="4" name="Avg_RFI_Response_Days"/>
    <x:tableColumn id="5" name="On_Time_Rate_Pct"/>
    <x:tableColumn id="6" name="Change_Count"/>
    <x:tableColumn id="7" name="Avg_Approval_Cycle_Days"/>
    <x:tableColumn id="8" name="Pending_Exposure"/>
  </x:tableColumns>
  <x:tableStyleInfo name="TableStyleMedium2" showRowStripes="1"/>
</x:table>
</file>

<file path=xl/tables/table9.xml><?xml version="1.0" encoding="utf-8"?>
<x:table xmlns:x="http://schemas.openxmlformats.org/spreadsheetml/2006/main" id="10" name="YearlyTrendTable" displayName="YearlyTrendTable" ref="A15:H19" headerRowCount="1">
  <x:tableColumns count="8">
    <x:tableColumn id="1" name="Year"/>
    <x:tableColumn id="2" name="RFI_Count"/>
    <x:tableColumn id="3" name="Avg_RFI_Response_Days"/>
    <x:tableColumn id="4" name="On_Time_Rate_Pct"/>
    <x:tableColumn id="5" name="Change_Count"/>
    <x:tableColumn id="6" name="Approved_Value"/>
    <x:tableColumn id="7" name="Avg_Approval_Cycle_Days"/>
    <x:tableColumn id="8" name="Pending_Exposure"/>
  </x:tableColumns>
  <x:tableStyleInfo name="TableStyleMedium2" showRowStripes="1"/>
</x:table>
</file>

<file path=xl/tables/table10.xml><?xml version="1.0" encoding="utf-8"?>
<x:table xmlns:x="http://schemas.openxmlformats.org/spreadsheetml/2006/main" id="11" name="AssociationResultsTable" displayName="AssociationResultsTable" ref="A5:F16" headerRowCount="1">
  <x:tableColumns count="6">
    <x:tableColumn id="1" name="Relationship"/>
    <x:tableColumn id="2" name="Method"/>
    <x:tableColumn id="3" name="Statistic"/>
    <x:tableColumn id="4" name="P_Value"/>
    <x:tableColumn id="5" name="N"/>
    <x:tableColumn id="6" name="Interpretation"/>
  </x:tableColumns>
  <x:tableStyleInfo name="TableStyleMedium2" showRowStripes="1"/>
</x:table>
</file>

<file path=xl/tables/table11.xml><?xml version="1.0" encoding="utf-8"?>
<x:table xmlns:x="http://schemas.openxmlformats.org/spreadsheetml/2006/main" id="12" name="ExploratoryModelTable" displayName="ExploratoryModelTable" ref="A5:G7" headerRowCount="1">
  <x:tableColumns count="7">
    <x:tableColumn id="1" name="Model"/>
    <x:tableColumn id="2" name="Available_Information"/>
    <x:tableColumn id="3" name="Mean_CV_AUC"/>
    <x:tableColumn id="4" name="Std_CV_AUC"/>
    <x:tableColumn id="5" name="Fold_AUCs"/>
    <x:tableColumn id="6" name="Interpretation"/>
    <x:tableColumn id="7" name="Production_Use"/>
  </x:tableColumns>
  <x:tableStyleInfo name="TableStyleMedium2" showRowStripes="1"/>
</x:table>
</file>

<file path=xl/tables/table12.xml><?xml version="1.0" encoding="utf-8"?>
<x:table xmlns:x="http://schemas.openxmlformats.org/spreadsheetml/2006/main" id="13" name="ThresholdTable" displayName="ThresholdTable" ref="A4:E11" headerRowCount="1">
  <x:tableColumns count="5">
    <x:tableColumn id="1" name="Indicator"/>
    <x:tableColumn id="2" name="Yellow Threshold"/>
    <x:tableColumn id="3" name="Red Threshold"/>
    <x:tableColumn id="4" name="Workbook Input"/>
    <x:tableColumn id="5" name="Interpretation"/>
  </x:tableColumns>
  <x:tableStyleInfo name="TableStyleMedium2" showRowStripes="1"/>
</x:table>
</file>

<file path=xl/tables/table13.xml><?xml version="1.0" encoding="utf-8"?>
<x:table xmlns:x="http://schemas.openxmlformats.org/spreadsheetml/2006/main" id="14" name="SourcesTable" displayName="SourcesTable" ref="A5:D14" headerRowCount="1">
  <x:tableColumns count="4">
    <x:tableColumn id="1" name="Source Type"/>
    <x:tableColumn id="2" name="Source"/>
    <x:tableColumn id="3" name="Location / 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06164ce377420e" /><Relationship Type="http://schemas.openxmlformats.org/officeDocument/2006/relationships/table" Target="/xl/tables/table1.xml" Id="Rca4176fa4f5f418d" /><Relationship Type="http://schemas.openxmlformats.org/officeDocument/2006/relationships/table" Target="/xl/tables/table2.xml" Id="R0a99c5057d5b4c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e5a10e5a42a4a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4008fdbf7634ece" /><Relationship Type="http://schemas.openxmlformats.org/officeDocument/2006/relationships/table" Target="/xl/tables/table4.xml" Id="Rb80c7be5821843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62baf74c1774493" /><Relationship Type="http://schemas.openxmlformats.org/officeDocument/2006/relationships/table" Target="/xl/tables/table5.xml" Id="Rfc2a9fa7d3de4d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31419d4a0b244dd1" /><Relationship Type="http://schemas.openxmlformats.org/officeDocument/2006/relationships/table" Target="/xl/tables/table6.xml" Id="R0b809eacad0540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ca22b6440ce4029" /><Relationship Type="http://schemas.openxmlformats.org/officeDocument/2006/relationships/table" Target="/xl/tables/table7.xml" Id="R80906c2e0ca34f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6adcda2c7ec4f37" /><Relationship Type="http://schemas.openxmlformats.org/officeDocument/2006/relationships/table" Target="/xl/tables/table8.xml" Id="R33a10863a2314782" /><Relationship Type="http://schemas.openxmlformats.org/officeDocument/2006/relationships/table" Target="/xl/tables/table9.xml" Id="R57d1f1d6b1a84f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856f9cc9d5c445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eb3f369b571e41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c2c79c6ff32d4f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49d9c3d8eb5542d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14" hidden="0" customWidth="1"/>
    <x:col min="5" max="5" width="16" hidden="0" customWidth="1"/>
    <x:col min="6" max="6" width="18" hidden="0" customWidth="1"/>
    <x:col min="7" max="7" width="17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" hidden="0" customWidth="1"/>
    <x:col min="14" max="14" width="4" hidden="0" customWidth="1"/>
  </x:cols>
  <x:sheetData>
    <x:row r="1" ht="34" customHeight="1">
      <x:c r="A1" s="359" t="str">
        <x:v>Construction Change Order and RFI Analytics</x:v>
      </x:c>
      <x:c r="B1" s="359"/>
      <x:c r="C1" s="359"/>
      <x:c r="D1" s="359"/>
      <x:c r="E1" s="359"/>
      <x:c r="F1" s="359"/>
      <x:c r="G1" s="359"/>
      <x:c r="H1" s="359"/>
      <x:c r="I1" s="359"/>
      <x:c r="J1" s="359"/>
      <x:c r="K1" s="359"/>
      <x:c r="L1" s="359"/>
      <x:c r="M1" s="359"/>
      <x:c r="N1" s="359"/>
    </x:row>
    <x:row r="2">
      <x:c r="A2" s="360" t="str">
        <x:v>Analyze Phase | Root-cause, cycle-time, impact, bottleneck, and project-priority analysis. All projects, organizations, people, and performance records are synthetic.</x:v>
      </x:c>
      <x:c r="B2" s="360"/>
      <x:c r="C2" s="360"/>
      <x:c r="D2" s="360"/>
      <x:c r="E2" s="360"/>
      <x:c r="F2" s="360"/>
      <x:c r="G2" s="360"/>
      <x:c r="H2" s="360"/>
      <x:c r="I2" s="360"/>
      <x:c r="J2" s="360"/>
      <x:c r="K2" s="360"/>
      <x:c r="L2" s="360"/>
      <x:c r="M2" s="360"/>
      <x:c r="N2" s="360"/>
    </x:row>
    <x:row r="3">
      <x:c r="A3" s="360"/>
      <x:c r="B3" s="360"/>
      <x:c r="C3" s="360"/>
      <x:c r="D3" s="360"/>
      <x:c r="E3" s="360"/>
      <x:c r="F3" s="360"/>
      <x:c r="G3" s="360"/>
      <x:c r="H3" s="360"/>
      <x:c r="I3" s="360"/>
      <x:c r="J3" s="360"/>
      <x:c r="K3" s="360"/>
      <x:c r="L3" s="360"/>
      <x:c r="M3" s="360"/>
      <x:c r="N3" s="360"/>
    </x:row>
    <x:row r="5">
      <x:c r="A5" s="373" t="n">
        <x:v>90</x:v>
      </x:c>
      <x:c r="B5" s="374"/>
      <x:c r="C5" s="375"/>
      <x:c r="D5" s="392" t="n">
        <x:v>3318</x:v>
      </x:c>
      <x:c r="E5" s="393"/>
      <x:c r="F5" s="394"/>
      <x:c r="G5" s="410" t="n">
        <x:v>12.21</x:v>
      </x:c>
      <x:c r="H5" s="411"/>
      <x:c r="I5" s="412"/>
      <x:c r="J5" s="428" t="n">
        <x:v>0.4568</x:v>
      </x:c>
      <x:c r="K5" s="429"/>
      <x:c r="L5" s="430"/>
    </x:row>
    <x:row r="6">
      <x:c r="A6" s="376"/>
      <x:c r="B6" s="377"/>
      <x:c r="C6" s="378"/>
      <x:c r="D6" s="395"/>
      <x:c r="E6" s="396"/>
      <x:c r="F6" s="397"/>
      <x:c r="G6" s="413"/>
      <x:c r="H6" s="414"/>
      <x:c r="I6" s="415"/>
      <x:c r="J6" s="431"/>
      <x:c r="K6" s="432"/>
      <x:c r="L6" s="433"/>
    </x:row>
    <x:row r="7">
      <x:c r="A7" s="376"/>
      <x:c r="B7" s="377"/>
      <x:c r="C7" s="378"/>
      <x:c r="D7" s="395"/>
      <x:c r="E7" s="396"/>
      <x:c r="F7" s="397"/>
      <x:c r="G7" s="413"/>
      <x:c r="H7" s="414"/>
      <x:c r="I7" s="415"/>
      <x:c r="J7" s="431"/>
      <x:c r="K7" s="432"/>
      <x:c r="L7" s="433"/>
    </x:row>
    <x:row r="8">
      <x:c r="A8" s="379"/>
      <x:c r="B8" s="380"/>
      <x:c r="C8" s="381"/>
      <x:c r="D8" s="398"/>
      <x:c r="E8" s="399"/>
      <x:c r="F8" s="400"/>
      <x:c r="G8" s="416"/>
      <x:c r="H8" s="417"/>
      <x:c r="I8" s="418"/>
      <x:c r="J8" s="434"/>
      <x:c r="K8" s="435"/>
      <x:c r="L8" s="436"/>
    </x:row>
    <x:row r="9">
      <x:c r="A9" s="382" t="str">
        <x:v>Projects</x:v>
      </x:c>
      <x:c r="B9" s="382"/>
      <x:c r="C9" s="382"/>
      <x:c r="D9" s="382" t="str">
        <x:v>RFIs</x:v>
      </x:c>
      <x:c r="E9" s="382"/>
      <x:c r="F9" s="382"/>
      <x:c r="G9" s="382" t="str">
        <x:v>Avg RFI Response</x:v>
      </x:c>
      <x:c r="H9" s="382"/>
      <x:c r="I9" s="382"/>
      <x:c r="J9" s="382" t="str">
        <x:v>RFI On-Time</x:v>
      </x:c>
      <x:c r="K9" s="382"/>
      <x:c r="L9" s="382"/>
    </x:row>
    <x:row r="10">
      <x:c r="A10" s="280"/>
      <x:c r="B10" s="281"/>
      <x:c r="C10" s="282"/>
      <x:c r="D10" s="280"/>
      <x:c r="E10" s="281"/>
      <x:c r="F10" s="282"/>
      <x:c r="G10" s="172"/>
      <x:c r="H10" s="173"/>
      <x:c r="I10" s="174"/>
      <x:c r="J10" s="226"/>
      <x:c r="K10" s="227"/>
      <x:c r="L10" s="228"/>
    </x:row>
    <x:row r="11">
      <x:c r="A11" s="445" t="n">
        <x:v>204568300</x:v>
      </x:c>
      <x:c r="B11" s="446"/>
      <x:c r="C11" s="447"/>
      <x:c r="D11" s="445" t="n">
        <x:v>88104000</x:v>
      </x:c>
      <x:c r="E11" s="446"/>
      <x:c r="F11" s="447"/>
      <x:c r="G11" s="410" t="n">
        <x:v>28.91</x:v>
      </x:c>
      <x:c r="H11" s="411"/>
      <x:c r="I11" s="412"/>
      <x:c r="J11" s="428" t="n">
        <x:v>0.17149999999999999</x:v>
      </x:c>
      <x:c r="K11" s="429"/>
      <x:c r="L11" s="430"/>
    </x:row>
    <x:row r="12">
      <x:c r="A12" s="448"/>
      <x:c r="B12" s="449"/>
      <x:c r="C12" s="450"/>
      <x:c r="D12" s="448"/>
      <x:c r="E12" s="449"/>
      <x:c r="F12" s="450"/>
      <x:c r="G12" s="413"/>
      <x:c r="H12" s="414"/>
      <x:c r="I12" s="415"/>
      <x:c r="J12" s="431"/>
      <x:c r="K12" s="432"/>
      <x:c r="L12" s="433"/>
    </x:row>
    <x:row r="13">
      <x:c r="A13" s="451"/>
      <x:c r="B13" s="441"/>
      <x:c r="C13" s="452"/>
      <x:c r="D13" s="451"/>
      <x:c r="E13" s="441"/>
      <x:c r="F13" s="452"/>
      <x:c r="G13" s="462"/>
      <x:c r="H13" s="408"/>
      <x:c r="I13" s="463"/>
      <x:c r="J13" s="464"/>
      <x:c r="K13" s="426"/>
      <x:c r="L13" s="465"/>
    </x:row>
    <x:row r="14">
      <x:c r="A14" s="456"/>
      <x:c r="B14" s="457"/>
      <x:c r="C14" s="458"/>
      <x:c r="D14" s="456"/>
      <x:c r="E14" s="457"/>
      <x:c r="F14" s="458"/>
      <x:c r="G14" s="416"/>
      <x:c r="H14" s="417"/>
      <x:c r="I14" s="418"/>
      <x:c r="J14" s="434"/>
      <x:c r="K14" s="435"/>
      <x:c r="L14" s="436"/>
    </x:row>
    <x:row r="15">
      <x:c r="A15" s="382" t="str">
        <x:v>Approved Change Value</x:v>
      </x:c>
      <x:c r="B15" s="382"/>
      <x:c r="C15" s="382"/>
      <x:c r="D15" s="382" t="str">
        <x:v>Pending Exposure</x:v>
      </x:c>
      <x:c r="E15" s="382"/>
      <x:c r="F15" s="382"/>
      <x:c r="G15" s="382" t="str">
        <x:v>Avg Approval Cycle</x:v>
      </x:c>
      <x:c r="H15" s="382"/>
      <x:c r="I15" s="382"/>
      <x:c r="J15" s="382" t="str">
        <x:v>RFI-to-Change</x:v>
      </x:c>
      <x:c r="K15" s="382"/>
      <x:c r="L15" s="382"/>
    </x:row>
    <x:row r="17">
      <x:c r="A17" s="321"/>
      <x:c r="B17" s="321"/>
    </x:row>
    <x:row r="18">
      <x:c r="A18" s="469" t="str">
        <x:v>Workflow Health</x:v>
      </x:c>
      <x:c r="B18" s="469" t="str">
        <x:v>Projects</x:v>
      </x:c>
    </x:row>
    <x:row r="19">
      <x:c r="A19" s="471" t="str">
        <x:v>Red</x:v>
      </x:c>
      <x:c r="B19" s="330" t="n">
        <x:v>29</x:v>
      </x:c>
    </x:row>
    <x:row r="20">
      <x:c r="A20" s="473" t="str">
        <x:v>Yellow</x:v>
      </x:c>
      <x:c r="B20" s="330" t="n">
        <x:v>48</x:v>
      </x:c>
    </x:row>
    <x:row r="21">
      <x:c r="A21" s="475" t="str">
        <x:v>Green</x:v>
      </x:c>
      <x:c r="B21" t="n">
        <x:v>13</x:v>
      </x:c>
    </x:row>
    <x:row r="33">
      <x:c r="A33" s="480" t="str">
        <x:v>Key Analytical Findings</x:v>
      </x:c>
      <x:c r="B33" s="480"/>
      <x:c r="C33" s="480"/>
      <x:c r="D33" s="482"/>
      <x:c r="E33" s="482"/>
      <x:c r="F33" s="482"/>
      <x:c r="G33" s="482"/>
      <x:c r="H33" s="482"/>
    </x:row>
    <x:row r="34" ht="44" customHeight="1">
      <x:c r="A34" s="491" t="str">
        <x:v>1</x:v>
      </x:c>
      <x:c r="B34" s="491" t="str">
        <x:v>Cross-process speed</x:v>
      </x:c>
      <x:c r="C34" s="488" t="str">
        <x:v>Project average RFI response and average change approval have the strongest tested relationship: Pearson r = 0.817 and R² = 0.668.</x:v>
      </x:c>
      <x:c r="D34" s="488"/>
      <x:c r="E34" s="488"/>
      <x:c r="F34" s="488"/>
      <x:c r="G34" s="488"/>
      <x:c r="H34" s="488"/>
    </x:row>
    <x:row r="35" ht="44" customHeight="1">
      <x:c r="A35" s="498" t="str">
        <x:v>2</x:v>
      </x:c>
      <x:c r="B35" s="498" t="str">
        <x:v>Decision profile</x:v>
      </x:c>
      <x:c r="C35" s="495" t="str">
        <x:v>Slow owner-decision projects averaged 16.45 RFI-response days, 26.3% on-time RFI performance, and 37.98 change-approval days.</x:v>
      </x:c>
      <x:c r="D35" s="495"/>
      <x:c r="E35" s="495"/>
      <x:c r="F35" s="495"/>
      <x:c r="G35" s="495"/>
      <x:c r="H35" s="495"/>
    </x:row>
    <x:row r="36" ht="44" customHeight="1">
      <x:c r="A36" s="491" t="str">
        <x:v>3</x:v>
      </x:c>
      <x:c r="B36" s="491" t="str">
        <x:v>Digital coordination</x:v>
      </x:c>
      <x:c r="C36" s="488" t="str">
        <x:v>High digital-coordination projects averaged 9.55 response days and 62.0% on-time performance, compared with 14.39 days and 33.6% for Low.</x:v>
      </x:c>
      <x:c r="D36" s="488"/>
      <x:c r="E36" s="488"/>
      <x:c r="F36" s="488"/>
      <x:c r="G36" s="488"/>
      <x:c r="H36" s="488"/>
    </x:row>
    <x:row r="37" ht="44" customHeight="1">
      <x:c r="A37" s="498" t="str">
        <x:v>4</x:v>
      </x:c>
      <x:c r="B37" s="498" t="str">
        <x:v>RFI impact driver</x:v>
      </x:c>
      <x:c r="C37" s="495" t="str">
        <x:v>Coordination Conflict RFIs generated the greatest actual cost impact: $8.23M, with 533 schedule-impact days.</x:v>
      </x:c>
      <x:c r="D37" s="495"/>
      <x:c r="E37" s="495"/>
      <x:c r="F37" s="495"/>
      <x:c r="G37" s="495"/>
      <x:c r="H37" s="495"/>
    </x:row>
    <x:row r="38" ht="44" customHeight="1">
      <x:c r="A38" s="491" t="str">
        <x:v>5</x:v>
      </x:c>
      <x:c r="B38" s="491" t="str">
        <x:v>Change concentration</x:v>
      </x:c>
      <x:c r="C38" s="488" t="str">
        <x:v>Owner-directed, design error/omission, and unforeseen-condition changes generated $124.28M in approved value.</x:v>
      </x:c>
      <x:c r="D38" s="488"/>
      <x:c r="E38" s="488"/>
      <x:c r="F38" s="488"/>
      <x:c r="G38" s="488"/>
      <x:c r="H38" s="488"/>
    </x:row>
    <x:row r="41">
      <x:c r="A41" s="469" t="str">
        <x:v>Project ID</x:v>
      </x:c>
      <x:c r="B41" s="469" t="str">
        <x:v>Project</x:v>
      </x:c>
      <x:c r="C41" s="469" t="str">
        <x:v>Risk Score</x:v>
      </x:c>
      <x:c r="D41" s="469" t="str">
        <x:v>Health</x:v>
      </x:c>
      <x:c r="E41" s="469" t="str">
        <x:v>Avg RFI Days</x:v>
      </x:c>
      <x:c r="F41" s="469" t="str">
        <x:v>Avg Approval Days</x:v>
      </x:c>
      <x:c r="G41" s="469" t="str">
        <x:v>Pending / Budget</x:v>
      </x:c>
    </x:row>
    <x:row r="42">
      <x:c r="A42" s="330" t="str">
        <x:v>PRJ-006</x:v>
      </x:c>
      <x:c r="B42" s="330" t="str">
        <x:v>Summit Corporate Center</x:v>
      </x:c>
      <x:c r="C42" s="330" t="n">
        <x:v>10</x:v>
      </x:c>
      <x:c r="D42" s="330" t="str">
        <x:v>Red</x:v>
      </x:c>
      <x:c r="E42" s="499" t="n">
        <x:v>11.484848484848484</x:v>
      </x:c>
      <x:c r="F42" s="499" t="n">
        <x:v>32.5</x:v>
      </x:c>
      <x:c r="G42" s="334" t="n">
        <x:v>0.02658</x:v>
      </x:c>
    </x:row>
    <x:row r="43">
      <x:c r="A43" s="330" t="str">
        <x:v>PRJ-025</x:v>
      </x:c>
      <x:c r="B43" s="330" t="str">
        <x:v>Canyon Transit-Oriented Development</x:v>
      </x:c>
      <x:c r="C43" s="330" t="n">
        <x:v>9</x:v>
      </x:c>
      <x:c r="D43" s="330" t="str">
        <x:v>Red</x:v>
      </x:c>
      <x:c r="E43" s="499" t="n">
        <x:v>17.032258064516128</x:v>
      </x:c>
      <x:c r="F43" s="499" t="n">
        <x:v>51</x:v>
      </x:c>
      <x:c r="G43" s="334" t="n">
        <x:v>0.029500000000000002</x:v>
      </x:c>
    </x:row>
    <x:row r="44">
      <x:c r="A44" s="330" t="str">
        <x:v>PRJ-075</x:v>
      </x:c>
      <x:c r="B44" s="330" t="str">
        <x:v>Summit Urban Village</x:v>
      </x:c>
      <x:c r="C44" s="330" t="n">
        <x:v>9</x:v>
      </x:c>
      <x:c r="D44" s="330" t="str">
        <x:v>Red</x:v>
      </x:c>
      <x:c r="E44" s="499" t="n">
        <x:v>18.583333333333332</x:v>
      </x:c>
      <x:c r="F44" s="499" t="n">
        <x:v>43.625</x:v>
      </x:c>
      <x:c r="G44" s="334" t="n">
        <x:v>0.01403</x:v>
      </x:c>
    </x:row>
    <x:row r="45">
      <x:c r="A45" s="330" t="str">
        <x:v>PRJ-051</x:v>
      </x:c>
      <x:c r="B45" s="330" t="str">
        <x:v>Evergreen Apartments</x:v>
      </x:c>
      <x:c r="C45" s="330" t="n">
        <x:v>9</x:v>
      </x:c>
      <x:c r="D45" s="330" t="str">
        <x:v>Red</x:v>
      </x:c>
      <x:c r="E45" s="499" t="n">
        <x:v>21.096153846153847</x:v>
      </x:c>
      <x:c r="F45" s="499" t="n">
        <x:v>45.857142857142854</x:v>
      </x:c>
      <x:c r="G45" s="334" t="n">
        <x:v>0.005620000000000001</x:v>
      </x:c>
    </x:row>
    <x:row r="46">
      <x:c r="A46" s="330" t="str">
        <x:v>PRJ-013</x:v>
      </x:c>
      <x:c r="B46" s="330" t="str">
        <x:v>Aspen Civic Complex 2</x:v>
      </x:c>
      <x:c r="C46" s="330" t="n">
        <x:v>9</x:v>
      </x:c>
      <x:c r="D46" s="330" t="str">
        <x:v>Red</x:v>
      </x:c>
      <x:c r="E46" s="499" t="n">
        <x:v>10.394736842105264</x:v>
      </x:c>
      <x:c r="F46" s="499" t="n">
        <x:v>29.571428571428573</x:v>
      </x:c>
      <x:c r="G46" s="334" t="n">
        <x:v>0.00515</x:v>
      </x:c>
    </x:row>
    <x:row r="47">
      <x:c r="A47" s="330" t="str">
        <x:v>PRJ-016</x:v>
      </x:c>
      <x:c r="B47" s="330" t="str">
        <x:v>Evergreen Town Center</x:v>
      </x:c>
      <x:c r="C47" s="330" t="n">
        <x:v>8</x:v>
      </x:c>
      <x:c r="D47" s="330" t="str">
        <x:v>Red</x:v>
      </x:c>
      <x:c r="E47" s="499" t="n">
        <x:v>17.025</x:v>
      </x:c>
      <x:c r="F47" s="499" t="n">
        <x:v>35.6</x:v>
      </x:c>
      <x:c r="G47" s="334" t="n">
        <x:v>0.018340000000000002</x:v>
      </x:c>
    </x:row>
    <x:row r="48">
      <x:c r="A48" s="330" t="str">
        <x:v>PRJ-039</x:v>
      </x:c>
      <x:c r="B48" s="330" t="str">
        <x:v>Silver Creek Urban Village 2</x:v>
      </x:c>
      <x:c r="C48" s="330" t="n">
        <x:v>8</x:v>
      </x:c>
      <x:c r="D48" s="330" t="str">
        <x:v>Red</x:v>
      </x:c>
      <x:c r="E48" s="499" t="n">
        <x:v>12.307692307692308</x:v>
      </x:c>
      <x:c r="F48" s="499" t="n">
        <x:v>39.333333333333336</x:v>
      </x:c>
      <x:c r="G48" s="334" t="n">
        <x:v>0.01401</x:v>
      </x:c>
    </x:row>
    <x:row r="49">
      <x:c r="A49" s="330" t="str">
        <x:v>PRJ-019</x:v>
      </x:c>
      <x:c r="B49" s="330" t="str">
        <x:v>Pioneer Research Center</x:v>
      </x:c>
      <x:c r="C49" s="330" t="n">
        <x:v>8</x:v>
      </x:c>
      <x:c r="D49" s="330" t="str">
        <x:v>Red</x:v>
      </x:c>
      <x:c r="E49" s="499" t="n">
        <x:v>14.942307692307692</x:v>
      </x:c>
      <x:c r="F49" s="499" t="n">
        <x:v>35.8</x:v>
      </x:c>
      <x:c r="G49" s="334" t="n">
        <x:v>0.0126</x:v>
      </x:c>
    </x:row>
    <x:row r="50">
      <x:c r="A50" s="330" t="str">
        <x:v>PRJ-017</x:v>
      </x:c>
      <x:c r="B50" s="330" t="str">
        <x:v>Mountain Gate Transit Center</x:v>
      </x:c>
      <x:c r="C50" s="330" t="n">
        <x:v>8</x:v>
      </x:c>
      <x:c r="D50" s="330" t="str">
        <x:v>Red</x:v>
      </x:c>
      <x:c r="E50" s="499" t="n">
        <x:v>19.03921568627451</x:v>
      </x:c>
      <x:c r="F50" s="499" t="n">
        <x:v>33.2</x:v>
      </x:c>
      <x:c r="G50" s="334" t="n">
        <x:v>0.00831</x:v>
      </x:c>
    </x:row>
    <x:row r="51">
      <x:c r="A51" s="330" t="str">
        <x:v>PRJ-021</x:v>
      </x:c>
      <x:c r="B51" s="330" t="str">
        <x:v>Desert View Processing Plant</x:v>
      </x:c>
      <x:c r="C51" s="330" t="n">
        <x:v>8</x:v>
      </x:c>
      <x:c r="D51" s="330" t="str">
        <x:v>Red</x:v>
      </x:c>
      <x:c r="E51" s="499" t="n">
        <x:v>18</x:v>
      </x:c>
      <x:c r="F51" s="499" t="n">
        <x:v>36.45454545454545</x:v>
      </x:c>
      <x:c r="G51" s="334" t="n">
        <x:v>0.00172</x:v>
      </x:c>
    </x:row>
  </x:sheetData>
  <x:mergeCells>
    <x:mergeCell ref="A1:N1"/>
    <x:mergeCell ref="A2:N3"/>
    <x:mergeCell ref="A5:C8"/>
    <x:mergeCell ref="A9:C9"/>
    <x:mergeCell ref="D5:F8"/>
    <x:mergeCell ref="D9:F9"/>
    <x:mergeCell ref="G5:I8"/>
    <x:mergeCell ref="G9:I9"/>
    <x:mergeCell ref="J5:L8"/>
    <x:mergeCell ref="J9:L9"/>
    <x:mergeCell ref="A11:C14"/>
    <x:mergeCell ref="A15:C15"/>
    <x:mergeCell ref="D11:F14"/>
    <x:mergeCell ref="D15:F15"/>
    <x:mergeCell ref="G11:I14"/>
    <x:mergeCell ref="G15:I15"/>
    <x:mergeCell ref="J11:L14"/>
    <x:mergeCell ref="J15:L15"/>
    <x:mergeCell ref="A33:H33"/>
    <x:mergeCell ref="C34:H34"/>
    <x:mergeCell ref="C35:H35"/>
    <x:mergeCell ref="C36:H36"/>
    <x:mergeCell ref="C37:H37"/>
    <x:mergeCell ref="C38:H38"/>
  </x:mergeCells>
  <x:conditionalFormatting sqref="A18:A20">
    <x:cfRule type="expression" dxfId="0" priority="1">
      <x:formula>A18="Red"</x:formula>
    </x:cfRule>
    <x:cfRule type="expression" dxfId="1" priority="2">
      <x:formula>A18="Yellow"</x:formula>
    </x:cfRule>
    <x:cfRule type="expression" dxfId="2" priority="3">
      <x:formula>A18="Green"</x:formula>
    </x:cfRule>
  </x:conditionalFormatting>
  <x:conditionalFormatting sqref="D42:D51">
    <x:cfRule type="expression" dxfId="3" priority="4">
      <x:formula>D42="Red"</x:formula>
    </x:cfRule>
    <x:cfRule type="expression" dxfId="7" priority="5">
      <x:formula>D42="Red"</x:formula>
    </x:cfRule>
  </x:conditionalFormatting>
  <x:conditionalFormatting sqref="C42:C51">
    <x:cfRule type="dataBar" priority="6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{317CC4EE-E833-C088-A96C-6AF4FDB69761}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d06164ce377420e"/>
  <x:tableParts count="2">
    <x:tablePart xmlns:r="http://schemas.openxmlformats.org/officeDocument/2006/relationships" r:id="Rca4176fa4f5f418d"/>
    <x:tablePart xmlns:r="http://schemas.openxmlformats.org/officeDocument/2006/relationships" r:id="R0a99c5057d5b4c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317CC4EE-E833-C088-A96C-6AF4FDB69761}">
            <x14:dataBar gradient="1">
              <x14:cfvo type="min"/>
              <x14:cfvo type="max"/>
              <x14:fillColor rgb="FF1EA7C5"/>
            </x14:dataBar>
          </x14:cfRule>
          <xm:sqref>C42:C51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1" hidden="0" customWidth="1"/>
    <x:col min="4" max="4" width="18" hidden="0" customWidth="1"/>
    <x:col min="5" max="5" width="16" hidden="0" customWidth="1"/>
    <x:col min="6" max="6" width="11" hidden="0" customWidth="1"/>
    <x:col min="7" max="7" width="15" hidden="0" customWidth="1"/>
    <x:col min="8" max="8" width="13" hidden="0" customWidth="1"/>
    <x:col min="9" max="9" width="16" hidden="0" customWidth="1"/>
    <x:col min="10" max="10" width="19" hidden="0" customWidth="1"/>
    <x:col min="11" max="11" width="16" hidden="0" customWidth="1"/>
    <x:col min="12" max="12" width="17" hidden="0" customWidth="1"/>
    <x:col min="13" max="13" width="15" hidden="0" customWidth="1"/>
    <x:col min="14" max="14" width="16" hidden="0" customWidth="1"/>
    <x:col min="15" max="15" width="18" hidden="0" customWidth="1"/>
    <x:col min="16" max="16" width="12" hidden="0" customWidth="1"/>
    <x:col min="17" max="17" width="12" hidden="0" customWidth="1"/>
    <x:col min="18" max="18" width="15" hidden="0" customWidth="1"/>
    <x:col min="19" max="19" width="12" hidden="0" customWidth="1"/>
    <x:col min="20" max="20" width="12" hidden="0" customWidth="1"/>
    <x:col min="21" max="21" width="12" hidden="0" customWidth="1"/>
    <x:col min="22" max="22" width="17" hidden="0" customWidth="1"/>
    <x:col min="23" max="23" width="12" hidden="0" customWidth="1"/>
    <x:col min="24" max="24" width="12" hidden="0" customWidth="1"/>
  </x:cols>
  <x:sheetData>
    <x:row r="1" ht="32" customHeight="1">
      <x:c r="A1" s="5" t="str">
        <x:v>Project Workflow Risk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13" t="str">
        <x:v>Transparent cumulative trigger model. Indicator points are calculated with formulas and linked to the Thresholds sheet.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Project ID</x:v>
      </x:c>
      <x:c r="B5" s="321" t="str">
        <x:v>Project Name</x:v>
      </x:c>
      <x:c r="C5" s="321" t="str">
        <x:v>Project Type</x:v>
      </x:c>
      <x:c r="D5" s="321" t="str">
        <x:v>Delivery Method</x:v>
      </x:c>
      <x:c r="E5" s="321" t="str">
        <x:v>Budget</x:v>
      </x:c>
      <x:c r="F5" s="321" t="str">
        <x:v>RFI Count</x:v>
      </x:c>
      <x:c r="G5" s="321" t="str">
        <x:v>Avg Response Days</x:v>
      </x:c>
      <x:c r="H5" s="321" t="str">
        <x:v>On-Time Rate</x:v>
      </x:c>
      <x:c r="I5" s="321" t="str">
        <x:v>Overdue Open Rate</x:v>
      </x:c>
      <x:c r="J5" s="321" t="str">
        <x:v>High/Critical Overdue Rate</x:v>
      </x:c>
      <x:c r="K5" s="321" t="str">
        <x:v>Avg Approval Days</x:v>
      </x:c>
      <x:c r="L5" s="321" t="str">
        <x:v>Pending Exposure</x:v>
      </x:c>
      <x:c r="M5" s="321" t="str">
        <x:v>Pending / Budget</x:v>
      </x:c>
      <x:c r="N5" s="321" t="str">
        <x:v>Forecast Lag Days</x:v>
      </x:c>
      <x:c r="O5" s="321" t="str">
        <x:v>Not Incorporated Rate</x:v>
      </x:c>
      <x:c r="P5" s="321" t="str">
        <x:v>Response Pts</x:v>
      </x:c>
      <x:c r="Q5" s="321" t="str">
        <x:v>Overdue Pts</x:v>
      </x:c>
      <x:c r="R5" s="321" t="str">
        <x:v>High/Critical Pts</x:v>
      </x:c>
      <x:c r="S5" s="321" t="str">
        <x:v>Approval Pts</x:v>
      </x:c>
      <x:c r="T5" s="321" t="str">
        <x:v>Pending Pts</x:v>
      </x:c>
      <x:c r="U5" s="321" t="str">
        <x:v>Forecast Pts</x:v>
      </x:c>
      <x:c r="V5" s="321" t="str">
        <x:v>Not Incorporated Pts</x:v>
      </x:c>
      <x:c r="W5" s="321" t="str">
        <x:v>Risk Score</x:v>
      </x:c>
      <x:c r="X5" s="321" t="str">
        <x:v>Health</x:v>
      </x:c>
    </x:row>
    <x:row r="6">
      <x:c r="A6" s="330" t="str">
        <x:v>PRJ-006</x:v>
      </x:c>
      <x:c r="B6" s="330" t="str">
        <x:v>Summit Corporate Center</x:v>
      </x:c>
      <x:c r="C6" s="330" t="str">
        <x:v>Commercial</x:v>
      </x:c>
      <x:c r="D6" s="330" t="str">
        <x:v>Design-Build</x:v>
      </x:c>
      <x:c r="E6" s="336" t="n">
        <x:v>106705000</x:v>
      </x:c>
      <x:c r="F6" s="330" t="n">
        <x:v>40</x:v>
      </x:c>
      <x:c r="G6" s="499" t="n">
        <x:v>11.484848484848484</x:v>
      </x:c>
      <x:c r="H6" s="338" t="n">
        <x:v>0.4545</x:v>
      </x:c>
      <x:c r="I6" s="338" t="n">
        <x:v>0.175</x:v>
      </x:c>
      <x:c r="J6" s="338" t="n">
        <x:v>0.075</x:v>
      </x:c>
      <x:c r="K6" s="499" t="n">
        <x:v>32.5</x:v>
      </x:c>
      <x:c r="L6" s="336" t="n">
        <x:v>2836000</x:v>
      </x:c>
      <x:c r="M6" s="334" t="n">
        <x:v>0.02658</x:v>
      </x:c>
      <x:c r="N6" s="499" t="n">
        <x:v>10.142857142857142</x:v>
      </x:c>
      <x:c r="O6" s="338" t="n">
        <x:v>0.125</x:v>
      </x:c>
      <x:c r="P6" s="330" t="n">
        <x:f>IF(G6&gt;Thresholds!$C$5,2,IF(G6&gt;Thresholds!$B$5,1,0))</x:f>
        <x:v>1</x:v>
      </x:c>
      <x:c r="Q6" s="330" t="n">
        <x:f>IF(I6&gt;Thresholds!$C$6,2,IF(I6&gt;Thresholds!$B$6,1,0))</x:f>
        <x:v>1</x:v>
      </x:c>
      <x:c r="R6" s="330" t="n">
        <x:f>IF(J6&gt;Thresholds!$C$7,2,IF(J6&gt;Thresholds!$B$7,1,0))</x:f>
        <x:v>2</x:v>
      </x:c>
      <x:c r="S6" s="330" t="n">
        <x:f>IF(K6&gt;Thresholds!$C$8,2,IF(K6&gt;Thresholds!$B$8,1,0))</x:f>
        <x:v>1</x:v>
      </x:c>
      <x:c r="T6" s="330" t="n">
        <x:f>IF(M6&gt;Thresholds!$C$9,2,IF(M6&gt;Thresholds!$B$9,1,0))</x:f>
        <x:v>2</x:v>
      </x:c>
      <x:c r="U6" s="330" t="n">
        <x:f>IF(N6&gt;Thresholds!$C$10,2,IF(N6&gt;Thresholds!$B$10,1,0))</x:f>
        <x:v>2</x:v>
      </x:c>
      <x:c r="V6" s="330" t="n">
        <x:f>IF(O6&gt;Thresholds!$C$11,2,IF(O6&gt;Thresholds!$B$11,1,0))</x:f>
        <x:v>1</x:v>
      </x:c>
      <x:c r="W6" s="330" t="n">
        <x:f>SUM(P6:V6)</x:f>
        <x:v>10</x:v>
      </x:c>
      <x:c r="X6" s="330" t="str">
        <x:f>IF(W6&gt;=Thresholds!$C$14,"Red",IF(W6&gt;=Thresholds!$B$14,"Yellow","Green"))</x:f>
        <x:v>Red</x:v>
      </x:c>
    </x:row>
    <x:row r="7">
      <x:c r="A7" s="330" t="str">
        <x:v>PRJ-025</x:v>
      </x:c>
      <x:c r="B7" s="330" t="str">
        <x:v>Canyon Transit-Oriented Development</x:v>
      </x:c>
      <x:c r="C7" s="330" t="str">
        <x:v>Mixed-Use</x:v>
      </x:c>
      <x:c r="D7" s="330" t="str">
        <x:v>IPD</x:v>
      </x:c>
      <x:c r="E7" s="336" t="n">
        <x:v>46069000</x:v>
      </x:c>
      <x:c r="F7" s="330" t="n">
        <x:v>40</x:v>
      </x:c>
      <x:c r="G7" s="499" t="n">
        <x:v>17.032258064516128</x:v>
      </x:c>
      <x:c r="H7" s="338" t="n">
        <x:v>0.1935</x:v>
      </x:c>
      <x:c r="I7" s="338" t="n">
        <x:v>0.225</x:v>
      </x:c>
      <x:c r="J7" s="338" t="n">
        <x:v>0.025</x:v>
      </x:c>
      <x:c r="K7" s="499" t="n">
        <x:v>51</x:v>
      </x:c>
      <x:c r="L7" s="336" t="n">
        <x:v>1359000</x:v>
      </x:c>
      <x:c r="M7" s="334" t="n">
        <x:v>0.029500000000000002</x:v>
      </x:c>
      <x:c r="N7" s="499" t="n">
        <x:v>6.222222222222222</x:v>
      </x:c>
      <x:c r="O7" s="338" t="n">
        <x:v>0</x:v>
      </x:c>
      <x:c r="P7" s="330" t="n">
        <x:f>IF(G7&gt;Thresholds!$C$5,2,IF(G7&gt;Thresholds!$B$5,1,0))</x:f>
        <x:v>2</x:v>
      </x:c>
      <x:c r="Q7" s="330" t="n">
        <x:f>IF(I7&gt;Thresholds!$C$6,2,IF(I7&gt;Thresholds!$B$6,1,0))</x:f>
        <x:v>1</x:v>
      </x:c>
      <x:c r="R7" s="330" t="n">
        <x:f>IF(J7&gt;Thresholds!$C$7,2,IF(J7&gt;Thresholds!$B$7,1,0))</x:f>
        <x:v>1</x:v>
      </x:c>
      <x:c r="S7" s="330" t="n">
        <x:f>IF(K7&gt;Thresholds!$C$8,2,IF(K7&gt;Thresholds!$B$8,1,0))</x:f>
        <x:v>2</x:v>
      </x:c>
      <x:c r="T7" s="330" t="n">
        <x:f>IF(M7&gt;Thresholds!$C$9,2,IF(M7&gt;Thresholds!$B$9,1,0))</x:f>
        <x:v>2</x:v>
      </x:c>
      <x:c r="U7" s="330" t="n">
        <x:f>IF(N7&gt;Thresholds!$C$10,2,IF(N7&gt;Thresholds!$B$10,1,0))</x:f>
        <x:v>1</x:v>
      </x:c>
      <x:c r="V7" s="330" t="n">
        <x:f>IF(O7&gt;Thresholds!$C$11,2,IF(O7&gt;Thresholds!$B$11,1,0))</x:f>
        <x:v>0</x:v>
      </x:c>
      <x:c r="W7" s="330" t="n">
        <x:f>SUM(P7:V7)</x:f>
        <x:v>9</x:v>
      </x:c>
      <x:c r="X7" s="330" t="str">
        <x:f>IF(W7&gt;=Thresholds!$C$14,"Red",IF(W7&gt;=Thresholds!$B$14,"Yellow","Green"))</x:f>
        <x:v>Red</x:v>
      </x:c>
    </x:row>
    <x:row r="8">
      <x:c r="A8" s="330" t="str">
        <x:v>PRJ-075</x:v>
      </x:c>
      <x:c r="B8" s="330" t="str">
        <x:v>Summit Urban Village</x:v>
      </x:c>
      <x:c r="C8" s="330" t="str">
        <x:v>Mixed-Use</x:v>
      </x:c>
      <x:c r="D8" s="330" t="str">
        <x:v>CMAR</x:v>
      </x:c>
      <x:c r="E8" s="336" t="n">
        <x:v>242388000</x:v>
      </x:c>
      <x:c r="F8" s="330" t="n">
        <x:v>55</x:v>
      </x:c>
      <x:c r="G8" s="499" t="n">
        <x:v>18.583333333333332</x:v>
      </x:c>
      <x:c r="H8" s="338" t="n">
        <x:v>0.16670000000000001</x:v>
      </x:c>
      <x:c r="I8" s="338" t="n">
        <x:v>0.1091</x:v>
      </x:c>
      <x:c r="J8" s="338" t="n">
        <x:v>0.0545</x:v>
      </x:c>
      <x:c r="K8" s="499" t="n">
        <x:v>43.625</x:v>
      </x:c>
      <x:c r="L8" s="336" t="n">
        <x:v>3400000</x:v>
      </x:c>
      <x:c r="M8" s="334" t="n">
        <x:v>0.01403</x:v>
      </x:c>
      <x:c r="N8" s="499" t="n">
        <x:v>7.214285714285714</x:v>
      </x:c>
      <x:c r="O8" s="338" t="n">
        <x:v>0.125</x:v>
      </x:c>
      <x:c r="P8" s="330" t="n">
        <x:f>IF(G8&gt;Thresholds!$C$5,2,IF(G8&gt;Thresholds!$B$5,1,0))</x:f>
        <x:v>2</x:v>
      </x:c>
      <x:c r="Q8" s="330" t="n">
        <x:f>IF(I8&gt;Thresholds!$C$6,2,IF(I8&gt;Thresholds!$B$6,1,0))</x:f>
        <x:v>0</x:v>
      </x:c>
      <x:c r="R8" s="330" t="n">
        <x:f>IF(J8&gt;Thresholds!$C$7,2,IF(J8&gt;Thresholds!$B$7,1,0))</x:f>
        <x:v>2</x:v>
      </x:c>
      <x:c r="S8" s="330" t="n">
        <x:f>IF(K8&gt;Thresholds!$C$8,2,IF(K8&gt;Thresholds!$B$8,1,0))</x:f>
        <x:v>2</x:v>
      </x:c>
      <x:c r="T8" s="330" t="n">
        <x:f>IF(M8&gt;Thresholds!$C$9,2,IF(M8&gt;Thresholds!$B$9,1,0))</x:f>
        <x:v>1</x:v>
      </x:c>
      <x:c r="U8" s="330" t="n">
        <x:f>IF(N8&gt;Thresholds!$C$10,2,IF(N8&gt;Thresholds!$B$10,1,0))</x:f>
        <x:v>1</x:v>
      </x:c>
      <x:c r="V8" s="330" t="n">
        <x:f>IF(O8&gt;Thresholds!$C$11,2,IF(O8&gt;Thresholds!$B$11,1,0))</x:f>
        <x:v>1</x:v>
      </x:c>
      <x:c r="W8" s="330" t="n">
        <x:f>SUM(P8:V8)</x:f>
        <x:v>9</x:v>
      </x:c>
      <x:c r="X8" s="330" t="str">
        <x:f>IF(W8&gt;=Thresholds!$C$14,"Red",IF(W8&gt;=Thresholds!$B$14,"Yellow","Green"))</x:f>
        <x:v>Red</x:v>
      </x:c>
    </x:row>
    <x:row r="9">
      <x:c r="A9" s="330" t="str">
        <x:v>PRJ-051</x:v>
      </x:c>
      <x:c r="B9" s="330" t="str">
        <x:v>Evergreen Apartments</x:v>
      </x:c>
      <x:c r="C9" s="330" t="str">
        <x:v>Residential</x:v>
      </x:c>
      <x:c r="D9" s="330" t="str">
        <x:v>CMAR</x:v>
      </x:c>
      <x:c r="E9" s="336" t="n">
        <x:v>135815000</x:v>
      </x:c>
      <x:c r="F9" s="330" t="n">
        <x:v>62</x:v>
      </x:c>
      <x:c r="G9" s="499" t="n">
        <x:v>21.096153846153847</x:v>
      </x:c>
      <x:c r="H9" s="338" t="n">
        <x:v>0.07690000000000001</x:v>
      </x:c>
      <x:c r="I9" s="338" t="n">
        <x:v>0.1613</x:v>
      </x:c>
      <x:c r="J9" s="338" t="n">
        <x:v>0.0645</x:v>
      </x:c>
      <x:c r="K9" s="499" t="n">
        <x:v>45.857142857142854</x:v>
      </x:c>
      <x:c r="L9" s="336" t="n">
        <x:v>763000</x:v>
      </x:c>
      <x:c r="M9" s="334" t="n">
        <x:v>0.005620000000000001</x:v>
      </x:c>
      <x:c r="N9" s="499" t="n">
        <x:v>9.142857142857142</x:v>
      </x:c>
      <x:c r="O9" s="338" t="n">
        <x:v>0</x:v>
      </x:c>
      <x:c r="P9" s="330" t="n">
        <x:f>IF(G9&gt;Thresholds!$C$5,2,IF(G9&gt;Thresholds!$B$5,1,0))</x:f>
        <x:v>2</x:v>
      </x:c>
      <x:c r="Q9" s="330" t="n">
        <x:f>IF(I9&gt;Thresholds!$C$6,2,IF(I9&gt;Thresholds!$B$6,1,0))</x:f>
        <x:v>1</x:v>
      </x:c>
      <x:c r="R9" s="330" t="n">
        <x:f>IF(J9&gt;Thresholds!$C$7,2,IF(J9&gt;Thresholds!$B$7,1,0))</x:f>
        <x:v>2</x:v>
      </x:c>
      <x:c r="S9" s="330" t="n">
        <x:f>IF(K9&gt;Thresholds!$C$8,2,IF(K9&gt;Thresholds!$B$8,1,0))</x:f>
        <x:v>2</x:v>
      </x:c>
      <x:c r="T9" s="330" t="n">
        <x:f>IF(M9&gt;Thresholds!$C$9,2,IF(M9&gt;Thresholds!$B$9,1,0))</x:f>
        <x:v>1</x:v>
      </x:c>
      <x:c r="U9" s="330" t="n">
        <x:f>IF(N9&gt;Thresholds!$C$10,2,IF(N9&gt;Thresholds!$B$10,1,0))</x:f>
        <x:v>1</x:v>
      </x:c>
      <x:c r="V9" s="330" t="n">
        <x:f>IF(O9&gt;Thresholds!$C$11,2,IF(O9&gt;Thresholds!$B$11,1,0))</x:f>
        <x:v>0</x:v>
      </x:c>
      <x:c r="W9" s="330" t="n">
        <x:f>SUM(P9:V9)</x:f>
        <x:v>9</x:v>
      </x:c>
      <x:c r="X9" s="330" t="str">
        <x:f>IF(W9&gt;=Thresholds!$C$14,"Red",IF(W9&gt;=Thresholds!$B$14,"Yellow","Green"))</x:f>
        <x:v>Red</x:v>
      </x:c>
    </x:row>
    <x:row r="10">
      <x:c r="A10" s="330" t="str">
        <x:v>PRJ-013</x:v>
      </x:c>
      <x:c r="B10" s="330" t="str">
        <x:v>Aspen Civic Complex 2</x:v>
      </x:c>
      <x:c r="C10" s="330" t="str">
        <x:v>Institutional</x:v>
      </x:c>
      <x:c r="D10" s="330" t="str">
        <x:v>Design-Build</x:v>
      </x:c>
      <x:c r="E10" s="336" t="n">
        <x:v>216138000</x:v>
      </x:c>
      <x:c r="F10" s="330" t="n">
        <x:v>45</x:v>
      </x:c>
      <x:c r="G10" s="499" t="n">
        <x:v>10.394736842105264</x:v>
      </x:c>
      <x:c r="H10" s="338" t="n">
        <x:v>0.4474</x:v>
      </x:c>
      <x:c r="I10" s="338" t="n">
        <x:v>0.15560000000000002</x:v>
      </x:c>
      <x:c r="J10" s="338" t="n">
        <x:v>0.0667</x:v>
      </x:c>
      <x:c r="K10" s="499" t="n">
        <x:v>29.571428571428573</x:v>
      </x:c>
      <x:c r="L10" s="336" t="n">
        <x:v>1114000</x:v>
      </x:c>
      <x:c r="M10" s="334" t="n">
        <x:v>0.00515</x:v>
      </x:c>
      <x:c r="N10" s="499" t="n">
        <x:v>7.2</x:v>
      </x:c>
      <x:c r="O10" s="338" t="n">
        <x:v>0.2857</x:v>
      </x:c>
      <x:c r="P10" s="330" t="n">
        <x:f>IF(G10&gt;Thresholds!$C$5,2,IF(G10&gt;Thresholds!$B$5,1,0))</x:f>
        <x:v>1</x:v>
      </x:c>
      <x:c r="Q10" s="330" t="n">
        <x:f>IF(I10&gt;Thresholds!$C$6,2,IF(I10&gt;Thresholds!$B$6,1,0))</x:f>
        <x:v>1</x:v>
      </x:c>
      <x:c r="R10" s="330" t="n">
        <x:f>IF(J10&gt;Thresholds!$C$7,2,IF(J10&gt;Thresholds!$B$7,1,0))</x:f>
        <x:v>2</x:v>
      </x:c>
      <x:c r="S10" s="330" t="n">
        <x:f>IF(K10&gt;Thresholds!$C$8,2,IF(K10&gt;Thresholds!$B$8,1,0))</x:f>
        <x:v>1</x:v>
      </x:c>
      <x:c r="T10" s="330" t="n">
        <x:f>IF(M10&gt;Thresholds!$C$9,2,IF(M10&gt;Thresholds!$B$9,1,0))</x:f>
        <x:v>1</x:v>
      </x:c>
      <x:c r="U10" s="330" t="n">
        <x:f>IF(N10&gt;Thresholds!$C$10,2,IF(N10&gt;Thresholds!$B$10,1,0))</x:f>
        <x:v>1</x:v>
      </x:c>
      <x:c r="V10" s="330" t="n">
        <x:f>IF(O10&gt;Thresholds!$C$11,2,IF(O10&gt;Thresholds!$B$11,1,0))</x:f>
        <x:v>2</x:v>
      </x:c>
      <x:c r="W10" s="330" t="n">
        <x:f>SUM(P10:V10)</x:f>
        <x:v>9</x:v>
      </x:c>
      <x:c r="X10" s="330" t="str">
        <x:f>IF(W10&gt;=Thresholds!$C$14,"Red",IF(W10&gt;=Thresholds!$B$14,"Yellow","Green"))</x:f>
        <x:v>Red</x:v>
      </x:c>
    </x:row>
    <x:row r="11">
      <x:c r="A11" s="330" t="str">
        <x:v>PRJ-016</x:v>
      </x:c>
      <x:c r="B11" s="330" t="str">
        <x:v>Evergreen Town Center</x:v>
      </x:c>
      <x:c r="C11" s="330" t="str">
        <x:v>Mixed-Use</x:v>
      </x:c>
      <x:c r="D11" s="330" t="str">
        <x:v>Design-Build</x:v>
      </x:c>
      <x:c r="E11" s="336" t="n">
        <x:v>191391000</x:v>
      </x:c>
      <x:c r="F11" s="330" t="n">
        <x:v>43</x:v>
      </x:c>
      <x:c r="G11" s="499" t="n">
        <x:v>17.025</x:v>
      </x:c>
      <x:c r="H11" s="338" t="n">
        <x:v>0.2</x:v>
      </x:c>
      <x:c r="I11" s="338" t="n">
        <x:v>0.0698</x:v>
      </x:c>
      <x:c r="J11" s="338" t="n">
        <x:v>0.0233</x:v>
      </x:c>
      <x:c r="K11" s="499" t="n">
        <x:v>35.6</x:v>
      </x:c>
      <x:c r="L11" s="336" t="n">
        <x:v>3511000</x:v>
      </x:c>
      <x:c r="M11" s="334" t="n">
        <x:v>0.018340000000000002</x:v>
      </x:c>
      <x:c r="N11" s="499" t="n">
        <x:v>4.888888888888889</x:v>
      </x:c>
      <x:c r="O11" s="338" t="n">
        <x:v>0.1</x:v>
      </x:c>
      <x:c r="P11" s="330" t="n">
        <x:f>IF(G11&gt;Thresholds!$C$5,2,IF(G11&gt;Thresholds!$B$5,1,0))</x:f>
        <x:v>2</x:v>
      </x:c>
      <x:c r="Q11" s="330" t="n">
        <x:f>IF(I11&gt;Thresholds!$C$6,2,IF(I11&gt;Thresholds!$B$6,1,0))</x:f>
        <x:v>0</x:v>
      </x:c>
      <x:c r="R11" s="330" t="n">
        <x:f>IF(J11&gt;Thresholds!$C$7,2,IF(J11&gt;Thresholds!$B$7,1,0))</x:f>
        <x:v>1</x:v>
      </x:c>
      <x:c r="S11" s="330" t="n">
        <x:f>IF(K11&gt;Thresholds!$C$8,2,IF(K11&gt;Thresholds!$B$8,1,0))</x:f>
        <x:v>2</x:v>
      </x:c>
      <x:c r="T11" s="330" t="n">
        <x:f>IF(M11&gt;Thresholds!$C$9,2,IF(M11&gt;Thresholds!$B$9,1,0))</x:f>
        <x:v>2</x:v>
      </x:c>
      <x:c r="U11" s="330" t="n">
        <x:f>IF(N11&gt;Thresholds!$C$10,2,IF(N11&gt;Thresholds!$B$10,1,0))</x:f>
        <x:v>0</x:v>
      </x:c>
      <x:c r="V11" s="330" t="n">
        <x:f>IF(O11&gt;Thresholds!$C$11,2,IF(O11&gt;Thresholds!$B$11,1,0))</x:f>
        <x:v>1</x:v>
      </x:c>
      <x:c r="W11" s="330" t="n">
        <x:f>SUM(P11:V11)</x:f>
        <x:v>8</x:v>
      </x:c>
      <x:c r="X11" s="330" t="str">
        <x:f>IF(W11&gt;=Thresholds!$C$14,"Red",IF(W11&gt;=Thresholds!$B$14,"Yellow","Green"))</x:f>
        <x:v>Red</x:v>
      </x:c>
    </x:row>
    <x:row r="12">
      <x:c r="A12" s="330" t="str">
        <x:v>PRJ-039</x:v>
      </x:c>
      <x:c r="B12" s="330" t="str">
        <x:v>Silver Creek Urban Village 2</x:v>
      </x:c>
      <x:c r="C12" s="330" t="str">
        <x:v>Mixed-Use</x:v>
      </x:c>
      <x:c r="D12" s="330" t="str">
        <x:v>CMAR</x:v>
      </x:c>
      <x:c r="E12" s="336" t="n">
        <x:v>80253000</x:v>
      </x:c>
      <x:c r="F12" s="330" t="n">
        <x:v>40</x:v>
      </x:c>
      <x:c r="G12" s="499" t="n">
        <x:v>12.307692307692308</x:v>
      </x:c>
      <x:c r="H12" s="338" t="n">
        <x:v>0.4359</x:v>
      </x:c>
      <x:c r="I12" s="338" t="n">
        <x:v>0.025</x:v>
      </x:c>
      <x:c r="J12" s="338" t="n">
        <x:v>0.025</x:v>
      </x:c>
      <x:c r="K12" s="499" t="n">
        <x:v>39.333333333333336</x:v>
      </x:c>
      <x:c r="L12" s="336" t="n">
        <x:v>1124000</x:v>
      </x:c>
      <x:c r="M12" s="334" t="n">
        <x:v>0.01401</x:v>
      </x:c>
      <x:c r="N12" s="499" t="n">
        <x:v>9.8</x:v>
      </x:c>
      <x:c r="O12" s="338" t="n">
        <x:v>0.16670000000000001</x:v>
      </x:c>
      <x:c r="P12" s="330" t="n">
        <x:f>IF(G12&gt;Thresholds!$C$5,2,IF(G12&gt;Thresholds!$B$5,1,0))</x:f>
        <x:v>1</x:v>
      </x:c>
      <x:c r="Q12" s="330" t="n">
        <x:f>IF(I12&gt;Thresholds!$C$6,2,IF(I12&gt;Thresholds!$B$6,1,0))</x:f>
        <x:v>0</x:v>
      </x:c>
      <x:c r="R12" s="330" t="n">
        <x:f>IF(J12&gt;Thresholds!$C$7,2,IF(J12&gt;Thresholds!$B$7,1,0))</x:f>
        <x:v>1</x:v>
      </x:c>
      <x:c r="S12" s="330" t="n">
        <x:f>IF(K12&gt;Thresholds!$C$8,2,IF(K12&gt;Thresholds!$B$8,1,0))</x:f>
        <x:v>2</x:v>
      </x:c>
      <x:c r="T12" s="330" t="n">
        <x:f>IF(M12&gt;Thresholds!$C$9,2,IF(M12&gt;Thresholds!$B$9,1,0))</x:f>
        <x:v>1</x:v>
      </x:c>
      <x:c r="U12" s="330" t="n">
        <x:f>IF(N12&gt;Thresholds!$C$10,2,IF(N12&gt;Thresholds!$B$10,1,0))</x:f>
        <x:v>1</x:v>
      </x:c>
      <x:c r="V12" s="330" t="n">
        <x:f>IF(O12&gt;Thresholds!$C$11,2,IF(O12&gt;Thresholds!$B$11,1,0))</x:f>
        <x:v>2</x:v>
      </x:c>
      <x:c r="W12" s="330" t="n">
        <x:f>SUM(P12:V12)</x:f>
        <x:v>8</x:v>
      </x:c>
      <x:c r="X12" s="330" t="str">
        <x:f>IF(W12&gt;=Thresholds!$C$14,"Red",IF(W12&gt;=Thresholds!$B$14,"Yellow","Green"))</x:f>
        <x:v>Red</x:v>
      </x:c>
    </x:row>
    <x:row r="13">
      <x:c r="A13" s="330" t="str">
        <x:v>PRJ-019</x:v>
      </x:c>
      <x:c r="B13" s="330" t="str">
        <x:v>Pioneer Research Center</x:v>
      </x:c>
      <x:c r="C13" s="330" t="str">
        <x:v>Institutional</x:v>
      </x:c>
      <x:c r="D13" s="330" t="str">
        <x:v>Design-Build</x:v>
      </x:c>
      <x:c r="E13" s="336" t="n">
        <x:v>294523000</x:v>
      </x:c>
      <x:c r="F13" s="330" t="n">
        <x:v>56</x:v>
      </x:c>
      <x:c r="G13" s="499" t="n">
        <x:v>14.942307692307692</x:v>
      </x:c>
      <x:c r="H13" s="338" t="n">
        <x:v>0.2692</x:v>
      </x:c>
      <x:c r="I13" s="338" t="n">
        <x:v>0.07139999999999999</x:v>
      </x:c>
      <x:c r="J13" s="338" t="n">
        <x:v>0.07139999999999999</x:v>
      </x:c>
      <x:c r="K13" s="499" t="n">
        <x:v>35.8</x:v>
      </x:c>
      <x:c r="L13" s="336" t="n">
        <x:v>3711000</x:v>
      </x:c>
      <x:c r="M13" s="334" t="n">
        <x:v>0.0126</x:v>
      </x:c>
      <x:c r="N13" s="499" t="n">
        <x:v>6.642857142857143</x:v>
      </x:c>
      <x:c r="O13" s="338" t="n">
        <x:v>0.0667</x:v>
      </x:c>
      <x:c r="P13" s="330" t="n">
        <x:f>IF(G13&gt;Thresholds!$C$5,2,IF(G13&gt;Thresholds!$B$5,1,0))</x:f>
        <x:v>1</x:v>
      </x:c>
      <x:c r="Q13" s="330" t="n">
        <x:f>IF(I13&gt;Thresholds!$C$6,2,IF(I13&gt;Thresholds!$B$6,1,0))</x:f>
        <x:v>0</x:v>
      </x:c>
      <x:c r="R13" s="330" t="n">
        <x:f>IF(J13&gt;Thresholds!$C$7,2,IF(J13&gt;Thresholds!$B$7,1,0))</x:f>
        <x:v>2</x:v>
      </x:c>
      <x:c r="S13" s="330" t="n">
        <x:f>IF(K13&gt;Thresholds!$C$8,2,IF(K13&gt;Thresholds!$B$8,1,0))</x:f>
        <x:v>2</x:v>
      </x:c>
      <x:c r="T13" s="330" t="n">
        <x:f>IF(M13&gt;Thresholds!$C$9,2,IF(M13&gt;Thresholds!$B$9,1,0))</x:f>
        <x:v>1</x:v>
      </x:c>
      <x:c r="U13" s="330" t="n">
        <x:f>IF(N13&gt;Thresholds!$C$10,2,IF(N13&gt;Thresholds!$B$10,1,0))</x:f>
        <x:v>1</x:v>
      </x:c>
      <x:c r="V13" s="330" t="n">
        <x:f>IF(O13&gt;Thresholds!$C$11,2,IF(O13&gt;Thresholds!$B$11,1,0))</x:f>
        <x:v>1</x:v>
      </x:c>
      <x:c r="W13" s="330" t="n">
        <x:f>SUM(P13:V13)</x:f>
        <x:v>8</x:v>
      </x:c>
      <x:c r="X13" s="330" t="str">
        <x:f>IF(W13&gt;=Thresholds!$C$14,"Red",IF(W13&gt;=Thresholds!$B$14,"Yellow","Green"))</x:f>
        <x:v>Red</x:v>
      </x:c>
    </x:row>
    <x:row r="14">
      <x:c r="A14" s="330" t="str">
        <x:v>PRJ-017</x:v>
      </x:c>
      <x:c r="B14" s="330" t="str">
        <x:v>Mountain Gate Transit Center</x:v>
      </x:c>
      <x:c r="C14" s="330" t="str">
        <x:v>Heavy Civil &amp; Infrastructure</x:v>
      </x:c>
      <x:c r="D14" s="330" t="str">
        <x:v>Design-Bid-Build</x:v>
      </x:c>
      <x:c r="E14" s="336" t="n">
        <x:v>137983000</x:v>
      </x:c>
      <x:c r="F14" s="330" t="n">
        <x:v>61</x:v>
      </x:c>
      <x:c r="G14" s="499" t="n">
        <x:v>19.03921568627451</x:v>
      </x:c>
      <x:c r="H14" s="338" t="n">
        <x:v>0.15689999999999998</x:v>
      </x:c>
      <x:c r="I14" s="338" t="n">
        <x:v>0.16390000000000002</x:v>
      </x:c>
      <x:c r="J14" s="338" t="n">
        <x:v>0.032799999999999996</x:v>
      </x:c>
      <x:c r="K14" s="499" t="n">
        <x:v>33.2</x:v>
      </x:c>
      <x:c r="L14" s="336" t="n">
        <x:v>1146000</x:v>
      </x:c>
      <x:c r="M14" s="334" t="n">
        <x:v>0.00831</x:v>
      </x:c>
      <x:c r="N14" s="499" t="n">
        <x:v>6.444444444444445</x:v>
      </x:c>
      <x:c r="O14" s="338" t="n">
        <x:v>0.1</x:v>
      </x:c>
      <x:c r="P14" s="330" t="n">
        <x:f>IF(G14&gt;Thresholds!$C$5,2,IF(G14&gt;Thresholds!$B$5,1,0))</x:f>
        <x:v>2</x:v>
      </x:c>
      <x:c r="Q14" s="330" t="n">
        <x:f>IF(I14&gt;Thresholds!$C$6,2,IF(I14&gt;Thresholds!$B$6,1,0))</x:f>
        <x:v>1</x:v>
      </x:c>
      <x:c r="R14" s="330" t="n">
        <x:f>IF(J14&gt;Thresholds!$C$7,2,IF(J14&gt;Thresholds!$B$7,1,0))</x:f>
        <x:v>1</x:v>
      </x:c>
      <x:c r="S14" s="330" t="n">
        <x:f>IF(K14&gt;Thresholds!$C$8,2,IF(K14&gt;Thresholds!$B$8,1,0))</x:f>
        <x:v>1</x:v>
      </x:c>
      <x:c r="T14" s="330" t="n">
        <x:f>IF(M14&gt;Thresholds!$C$9,2,IF(M14&gt;Thresholds!$B$9,1,0))</x:f>
        <x:v>1</x:v>
      </x:c>
      <x:c r="U14" s="330" t="n">
        <x:f>IF(N14&gt;Thresholds!$C$10,2,IF(N14&gt;Thresholds!$B$10,1,0))</x:f>
        <x:v>1</x:v>
      </x:c>
      <x:c r="V14" s="330" t="n">
        <x:f>IF(O14&gt;Thresholds!$C$11,2,IF(O14&gt;Thresholds!$B$11,1,0))</x:f>
        <x:v>1</x:v>
      </x:c>
      <x:c r="W14" s="330" t="n">
        <x:f>SUM(P14:V14)</x:f>
        <x:v>8</x:v>
      </x:c>
      <x:c r="X14" s="330" t="str">
        <x:f>IF(W14&gt;=Thresholds!$C$14,"Red",IF(W14&gt;=Thresholds!$B$14,"Yellow","Green"))</x:f>
        <x:v>Red</x:v>
      </x:c>
    </x:row>
    <x:row r="15">
      <x:c r="A15" s="330" t="str">
        <x:v>PRJ-021</x:v>
      </x:c>
      <x:c r="B15" s="330" t="str">
        <x:v>Desert View Processing Plant</x:v>
      </x:c>
      <x:c r="C15" s="330" t="str">
        <x:v>Industrial</x:v>
      </x:c>
      <x:c r="D15" s="330" t="str">
        <x:v>Design-Bid-Build</x:v>
      </x:c>
      <x:c r="E15" s="336" t="n">
        <x:v>105525000</x:v>
      </x:c>
      <x:c r="F15" s="330" t="n">
        <x:v>34</x:v>
      </x:c>
      <x:c r="G15" s="499" t="n">
        <x:v>18</x:v>
      </x:c>
      <x:c r="H15" s="338" t="n">
        <x:v>0.2121</x:v>
      </x:c>
      <x:c r="I15" s="338" t="n">
        <x:v>0.0294</x:v>
      </x:c>
      <x:c r="J15" s="338" t="n">
        <x:v>0.0294</x:v>
      </x:c>
      <x:c r="K15" s="499" t="n">
        <x:v>36.45454545454545</x:v>
      </x:c>
      <x:c r="L15" s="336" t="n">
        <x:v>181000</x:v>
      </x:c>
      <x:c r="M15" s="334" t="n">
        <x:v>0.00172</x:v>
      </x:c>
      <x:c r="N15" s="499" t="n">
        <x:v>11</x:v>
      </x:c>
      <x:c r="O15" s="338" t="n">
        <x:v>0.0909</x:v>
      </x:c>
      <x:c r="P15" s="330" t="n">
        <x:f>IF(G15&gt;Thresholds!$C$5,2,IF(G15&gt;Thresholds!$B$5,1,0))</x:f>
        <x:v>2</x:v>
      </x:c>
      <x:c r="Q15" s="330" t="n">
        <x:f>IF(I15&gt;Thresholds!$C$6,2,IF(I15&gt;Thresholds!$B$6,1,0))</x:f>
        <x:v>0</x:v>
      </x:c>
      <x:c r="R15" s="330" t="n">
        <x:f>IF(J15&gt;Thresholds!$C$7,2,IF(J15&gt;Thresholds!$B$7,1,0))</x:f>
        <x:v>1</x:v>
      </x:c>
      <x:c r="S15" s="330" t="n">
        <x:f>IF(K15&gt;Thresholds!$C$8,2,IF(K15&gt;Thresholds!$B$8,1,0))</x:f>
        <x:v>2</x:v>
      </x:c>
      <x:c r="T15" s="330" t="n">
        <x:f>IF(M15&gt;Thresholds!$C$9,2,IF(M15&gt;Thresholds!$B$9,1,0))</x:f>
        <x:v>0</x:v>
      </x:c>
      <x:c r="U15" s="330" t="n">
        <x:f>IF(N15&gt;Thresholds!$C$10,2,IF(N15&gt;Thresholds!$B$10,1,0))</x:f>
        <x:v>2</x:v>
      </x:c>
      <x:c r="V15" s="330" t="n">
        <x:f>IF(O15&gt;Thresholds!$C$11,2,IF(O15&gt;Thresholds!$B$11,1,0))</x:f>
        <x:v>1</x:v>
      </x:c>
      <x:c r="W15" s="330" t="n">
        <x:f>SUM(P15:V15)</x:f>
        <x:v>8</x:v>
      </x:c>
      <x:c r="X15" s="330" t="str">
        <x:f>IF(W15&gt;=Thresholds!$C$14,"Red",IF(W15&gt;=Thresholds!$B$14,"Yellow","Green"))</x:f>
        <x:v>Red</x:v>
      </x:c>
    </x:row>
    <x:row r="16">
      <x:c r="A16" s="330" t="str">
        <x:v>PRJ-081</x:v>
      </x:c>
      <x:c r="B16" s="330" t="str">
        <x:v>Desert View Transit-Oriented Development</x:v>
      </x:c>
      <x:c r="C16" s="330" t="str">
        <x:v>Mixed-Use</x:v>
      </x:c>
      <x:c r="D16" s="330" t="str">
        <x:v>Design-Bid-Build</x:v>
      </x:c>
      <x:c r="E16" s="336" t="n">
        <x:v>140076000</x:v>
      </x:c>
      <x:c r="F16" s="330" t="n">
        <x:v>38</x:v>
      </x:c>
      <x:c r="G16" s="499" t="n">
        <x:v>11.181818181818182</x:v>
      </x:c>
      <x:c r="H16" s="338" t="n">
        <x:v>0.48479999999999995</x:v>
      </x:c>
      <x:c r="I16" s="338" t="n">
        <x:v>0.1316</x:v>
      </x:c>
      <x:c r="J16" s="338" t="n">
        <x:v>0.0263</x:v>
      </x:c>
      <x:c r="K16" s="499" t="n">
        <x:v>30.8</x:v>
      </x:c>
      <x:c r="L16" s="336" t="n">
        <x:v>3374000</x:v>
      </x:c>
      <x:c r="M16" s="334" t="n">
        <x:v>0.024089999999999997</x:v>
      </x:c>
      <x:c r="N16" s="499" t="n">
        <x:v>9.222222222222221</x:v>
      </x:c>
      <x:c r="O16" s="338" t="n">
        <x:v>0.1</x:v>
      </x:c>
      <x:c r="P16" s="330" t="n">
        <x:f>IF(G16&gt;Thresholds!$C$5,2,IF(G16&gt;Thresholds!$B$5,1,0))</x:f>
        <x:v>1</x:v>
      </x:c>
      <x:c r="Q16" s="330" t="n">
        <x:f>IF(I16&gt;Thresholds!$C$6,2,IF(I16&gt;Thresholds!$B$6,1,0))</x:f>
        <x:v>0</x:v>
      </x:c>
      <x:c r="R16" s="330" t="n">
        <x:f>IF(J16&gt;Thresholds!$C$7,2,IF(J16&gt;Thresholds!$B$7,1,0))</x:f>
        <x:v>1</x:v>
      </x:c>
      <x:c r="S16" s="330" t="n">
        <x:f>IF(K16&gt;Thresholds!$C$8,2,IF(K16&gt;Thresholds!$B$8,1,0))</x:f>
        <x:v>1</x:v>
      </x:c>
      <x:c r="T16" s="330" t="n">
        <x:f>IF(M16&gt;Thresholds!$C$9,2,IF(M16&gt;Thresholds!$B$9,1,0))</x:f>
        <x:v>2</x:v>
      </x:c>
      <x:c r="U16" s="330" t="n">
        <x:f>IF(N16&gt;Thresholds!$C$10,2,IF(N16&gt;Thresholds!$B$10,1,0))</x:f>
        <x:v>1</x:v>
      </x:c>
      <x:c r="V16" s="330" t="n">
        <x:f>IF(O16&gt;Thresholds!$C$11,2,IF(O16&gt;Thresholds!$B$11,1,0))</x:f>
        <x:v>1</x:v>
      </x:c>
      <x:c r="W16" s="330" t="n">
        <x:f>SUM(P16:V16)</x:f>
        <x:v>7</x:v>
      </x:c>
      <x:c r="X16" s="330" t="str">
        <x:f>IF(W16&gt;=Thresholds!$C$14,"Red",IF(W16&gt;=Thresholds!$B$14,"Yellow","Green"))</x:f>
        <x:v>Red</x:v>
      </x:c>
    </x:row>
    <x:row r="17">
      <x:c r="A17" s="330" t="str">
        <x:v>PRJ-072</x:v>
      </x:c>
      <x:c r="B17" s="330" t="str">
        <x:v>Evergreen Mixed-Use District</x:v>
      </x:c>
      <x:c r="C17" s="330" t="str">
        <x:v>Mixed-Use</x:v>
      </x:c>
      <x:c r="D17" s="330" t="str">
        <x:v>Design-Bid-Build</x:v>
      </x:c>
      <x:c r="E17" s="336" t="n">
        <x:v>151175000</x:v>
      </x:c>
      <x:c r="F17" s="330" t="n">
        <x:v>60</x:v>
      </x:c>
      <x:c r="G17" s="499" t="n">
        <x:v>21.927272727272726</x:v>
      </x:c>
      <x:c r="H17" s="338" t="n">
        <x:v>0.1091</x:v>
      </x:c>
      <x:c r="I17" s="338" t="n">
        <x:v>0.0833</x:v>
      </x:c>
      <x:c r="J17" s="338" t="n">
        <x:v>0</x:v>
      </x:c>
      <x:c r="K17" s="499" t="n">
        <x:v>54.7</x:v>
      </x:c>
      <x:c r="L17" s="336" t="n">
        <x:v>2512000</x:v>
      </x:c>
      <x:c r="M17" s="334" t="n">
        <x:v>0.01662</x:v>
      </x:c>
      <x:c r="N17" s="499" t="n">
        <x:v>8.1</x:v>
      </x:c>
      <x:c r="O17" s="338" t="n">
        <x:v>0</x:v>
      </x:c>
      <x:c r="P17" s="330" t="n">
        <x:f>IF(G17&gt;Thresholds!$C$5,2,IF(G17&gt;Thresholds!$B$5,1,0))</x:f>
        <x:v>2</x:v>
      </x:c>
      <x:c r="Q17" s="330" t="n">
        <x:f>IF(I17&gt;Thresholds!$C$6,2,IF(I17&gt;Thresholds!$B$6,1,0))</x:f>
        <x:v>0</x:v>
      </x:c>
      <x:c r="R17" s="330" t="n">
        <x:f>IF(J17&gt;Thresholds!$C$7,2,IF(J17&gt;Thresholds!$B$7,1,0))</x:f>
        <x:v>0</x:v>
      </x:c>
      <x:c r="S17" s="330" t="n">
        <x:f>IF(K17&gt;Thresholds!$C$8,2,IF(K17&gt;Thresholds!$B$8,1,0))</x:f>
        <x:v>2</x:v>
      </x:c>
      <x:c r="T17" s="330" t="n">
        <x:f>IF(M17&gt;Thresholds!$C$9,2,IF(M17&gt;Thresholds!$B$9,1,0))</x:f>
        <x:v>2</x:v>
      </x:c>
      <x:c r="U17" s="330" t="n">
        <x:f>IF(N17&gt;Thresholds!$C$10,2,IF(N17&gt;Thresholds!$B$10,1,0))</x:f>
        <x:v>1</x:v>
      </x:c>
      <x:c r="V17" s="330" t="n">
        <x:f>IF(O17&gt;Thresholds!$C$11,2,IF(O17&gt;Thresholds!$B$11,1,0))</x:f>
        <x:v>0</x:v>
      </x:c>
      <x:c r="W17" s="330" t="n">
        <x:f>SUM(P17:V17)</x:f>
        <x:v>7</x:v>
      </x:c>
      <x:c r="X17" s="330" t="str">
        <x:f>IF(W17&gt;=Thresholds!$C$14,"Red",IF(W17&gt;=Thresholds!$B$14,"Yellow","Green"))</x:f>
        <x:v>Red</x:v>
      </x:c>
    </x:row>
    <x:row r="18">
      <x:c r="A18" s="330" t="str">
        <x:v>PRJ-012</x:v>
      </x:c>
      <x:c r="B18" s="330" t="str">
        <x:v>Canyon Corporate Center</x:v>
      </x:c>
      <x:c r="C18" s="330" t="str">
        <x:v>Commercial</x:v>
      </x:c>
      <x:c r="D18" s="330" t="str">
        <x:v>CMAR</x:v>
      </x:c>
      <x:c r="E18" s="336" t="n">
        <x:v>30602000</x:v>
      </x:c>
      <x:c r="F18" s="330" t="n">
        <x:v>60</x:v>
      </x:c>
      <x:c r="G18" s="499" t="n">
        <x:v>18.454545454545453</x:v>
      </x:c>
      <x:c r="H18" s="338" t="n">
        <x:v>0.1818</x:v>
      </x:c>
      <x:c r="I18" s="338" t="n">
        <x:v>0.0833</x:v>
      </x:c>
      <x:c r="J18" s="338" t="n">
        <x:v>0.0333</x:v>
      </x:c>
      <x:c r="K18" s="499" t="n">
        <x:v>40.8</x:v>
      </x:c>
      <x:c r="L18" s="336" t="n">
        <x:v>122000</x:v>
      </x:c>
      <x:c r="M18" s="334" t="n">
        <x:v>0.0039900000000000005</x:v>
      </x:c>
      <x:c r="N18" s="499" t="n">
        <x:v>6.777777777777778</x:v>
      </x:c>
      <x:c r="O18" s="338" t="n">
        <x:v>0.1</x:v>
      </x:c>
      <x:c r="P18" s="330" t="n">
        <x:f>IF(G18&gt;Thresholds!$C$5,2,IF(G18&gt;Thresholds!$B$5,1,0))</x:f>
        <x:v>2</x:v>
      </x:c>
      <x:c r="Q18" s="330" t="n">
        <x:f>IF(I18&gt;Thresholds!$C$6,2,IF(I18&gt;Thresholds!$B$6,1,0))</x:f>
        <x:v>0</x:v>
      </x:c>
      <x:c r="R18" s="330" t="n">
        <x:f>IF(J18&gt;Thresholds!$C$7,2,IF(J18&gt;Thresholds!$B$7,1,0))</x:f>
        <x:v>1</x:v>
      </x:c>
      <x:c r="S18" s="330" t="n">
        <x:f>IF(K18&gt;Thresholds!$C$8,2,IF(K18&gt;Thresholds!$B$8,1,0))</x:f>
        <x:v>2</x:v>
      </x:c>
      <x:c r="T18" s="330" t="n">
        <x:f>IF(M18&gt;Thresholds!$C$9,2,IF(M18&gt;Thresholds!$B$9,1,0))</x:f>
        <x:v>0</x:v>
      </x:c>
      <x:c r="U18" s="330" t="n">
        <x:f>IF(N18&gt;Thresholds!$C$10,2,IF(N18&gt;Thresholds!$B$10,1,0))</x:f>
        <x:v>1</x:v>
      </x:c>
      <x:c r="V18" s="330" t="n">
        <x:f>IF(O18&gt;Thresholds!$C$11,2,IF(O18&gt;Thresholds!$B$11,1,0))</x:f>
        <x:v>1</x:v>
      </x:c>
      <x:c r="W18" s="330" t="n">
        <x:f>SUM(P18:V18)</x:f>
        <x:v>7</x:v>
      </x:c>
      <x:c r="X18" s="330" t="str">
        <x:f>IF(W18&gt;=Thresholds!$C$14,"Red",IF(W18&gt;=Thresholds!$B$14,"Yellow","Green"))</x:f>
        <x:v>Red</x:v>
      </x:c>
    </x:row>
    <x:row r="19">
      <x:c r="A19" s="330" t="str">
        <x:v>PRJ-068</x:v>
      </x:c>
      <x:c r="B19" s="330" t="str">
        <x:v>Copper Ridge Neighborhood</x:v>
      </x:c>
      <x:c r="C19" s="330" t="str">
        <x:v>Residential</x:v>
      </x:c>
      <x:c r="D19" s="330" t="str">
        <x:v>CMAR</x:v>
      </x:c>
      <x:c r="E19" s="336" t="n">
        <x:v>19443000</x:v>
      </x:c>
      <x:c r="F19" s="330" t="n">
        <x:v>34</x:v>
      </x:c>
      <x:c r="G19" s="499" t="n">
        <x:v>13.133333333333333</x:v>
      </x:c>
      <x:c r="H19" s="338" t="n">
        <x:v>0.4667</x:v>
      </x:c>
      <x:c r="I19" s="338" t="n">
        <x:v>0.1176</x:v>
      </x:c>
      <x:c r="J19" s="338" t="n">
        <x:v>0.0588</x:v>
      </x:c>
      <x:c r="K19" s="499" t="n">
        <x:v>27</x:v>
      </x:c>
      <x:c r="L19" s="336" t="n">
        <x:v>73000</x:v>
      </x:c>
      <x:c r="M19" s="334" t="n">
        <x:v>0.00375</x:v>
      </x:c>
      <x:c r="N19" s="499" t="n">
        <x:v>5.25</x:v>
      </x:c>
      <x:c r="O19" s="338" t="n">
        <x:v>0.3333</x:v>
      </x:c>
      <x:c r="P19" s="330" t="n">
        <x:f>IF(G19&gt;Thresholds!$C$5,2,IF(G19&gt;Thresholds!$B$5,1,0))</x:f>
        <x:v>1</x:v>
      </x:c>
      <x:c r="Q19" s="330" t="n">
        <x:f>IF(I19&gt;Thresholds!$C$6,2,IF(I19&gt;Thresholds!$B$6,1,0))</x:f>
        <x:v>0</x:v>
      </x:c>
      <x:c r="R19" s="330" t="n">
        <x:f>IF(J19&gt;Thresholds!$C$7,2,IF(J19&gt;Thresholds!$B$7,1,0))</x:f>
        <x:v>2</x:v>
      </x:c>
      <x:c r="S19" s="330" t="n">
        <x:f>IF(K19&gt;Thresholds!$C$8,2,IF(K19&gt;Thresholds!$B$8,1,0))</x:f>
        <x:v>1</x:v>
      </x:c>
      <x:c r="T19" s="330" t="n">
        <x:f>IF(M19&gt;Thresholds!$C$9,2,IF(M19&gt;Thresholds!$B$9,1,0))</x:f>
        <x:v>0</x:v>
      </x:c>
      <x:c r="U19" s="330" t="n">
        <x:f>IF(N19&gt;Thresholds!$C$10,2,IF(N19&gt;Thresholds!$B$10,1,0))</x:f>
        <x:v>1</x:v>
      </x:c>
      <x:c r="V19" s="330" t="n">
        <x:f>IF(O19&gt;Thresholds!$C$11,2,IF(O19&gt;Thresholds!$B$11,1,0))</x:f>
        <x:v>2</x:v>
      </x:c>
      <x:c r="W19" s="330" t="n">
        <x:f>SUM(P19:V19)</x:f>
        <x:v>7</x:v>
      </x:c>
      <x:c r="X19" s="330" t="str">
        <x:f>IF(W19&gt;=Thresholds!$C$14,"Red",IF(W19&gt;=Thresholds!$B$14,"Yellow","Green"))</x:f>
        <x:v>Red</x:v>
      </x:c>
    </x:row>
    <x:row r="20">
      <x:c r="A20" s="330" t="str">
        <x:v>PRJ-042</x:v>
      </x:c>
      <x:c r="B20" s="330" t="str">
        <x:v>Blue Mesa Retail Pavilion</x:v>
      </x:c>
      <x:c r="C20" s="330" t="str">
        <x:v>Commercial</x:v>
      </x:c>
      <x:c r="D20" s="330" t="str">
        <x:v>Design-Build</x:v>
      </x:c>
      <x:c r="E20" s="336" t="n">
        <x:v>23521000</x:v>
      </x:c>
      <x:c r="F20" s="330" t="n">
        <x:v>30</x:v>
      </x:c>
      <x:c r="G20" s="499" t="n">
        <x:v>15.655172413793103</x:v>
      </x:c>
      <x:c r="H20" s="338" t="n">
        <x:v>0.2069</x:v>
      </x:c>
      <x:c r="I20" s="338" t="n">
        <x:v>0.0333</x:v>
      </x:c>
      <x:c r="J20" s="338" t="n">
        <x:v>0.0333</x:v>
      </x:c>
      <x:c r="K20" s="499" t="n">
        <x:v>45.714285714285715</x:v>
      </x:c>
      <x:c r="L20" s="336" t="n">
        <x:v>88000</x:v>
      </x:c>
      <x:c r="M20" s="334" t="n">
        <x:v>0.00374</x:v>
      </x:c>
      <x:c r="N20" s="499" t="n">
        <x:v>8.333333333333334</x:v>
      </x:c>
      <x:c r="O20" s="338" t="n">
        <x:v>0.1429</x:v>
      </x:c>
      <x:c r="P20" s="330" t="n">
        <x:f>IF(G20&gt;Thresholds!$C$5,2,IF(G20&gt;Thresholds!$B$5,1,0))</x:f>
        <x:v>2</x:v>
      </x:c>
      <x:c r="Q20" s="330" t="n">
        <x:f>IF(I20&gt;Thresholds!$C$6,2,IF(I20&gt;Thresholds!$B$6,1,0))</x:f>
        <x:v>0</x:v>
      </x:c>
      <x:c r="R20" s="330" t="n">
        <x:f>IF(J20&gt;Thresholds!$C$7,2,IF(J20&gt;Thresholds!$B$7,1,0))</x:f>
        <x:v>1</x:v>
      </x:c>
      <x:c r="S20" s="330" t="n">
        <x:f>IF(K20&gt;Thresholds!$C$8,2,IF(K20&gt;Thresholds!$B$8,1,0))</x:f>
        <x:v>2</x:v>
      </x:c>
      <x:c r="T20" s="330" t="n">
        <x:f>IF(M20&gt;Thresholds!$C$9,2,IF(M20&gt;Thresholds!$B$9,1,0))</x:f>
        <x:v>0</x:v>
      </x:c>
      <x:c r="U20" s="330" t="n">
        <x:f>IF(N20&gt;Thresholds!$C$10,2,IF(N20&gt;Thresholds!$B$10,1,0))</x:f>
        <x:v>1</x:v>
      </x:c>
      <x:c r="V20" s="330" t="n">
        <x:f>IF(O20&gt;Thresholds!$C$11,2,IF(O20&gt;Thresholds!$B$11,1,0))</x:f>
        <x:v>1</x:v>
      </x:c>
      <x:c r="W20" s="330" t="n">
        <x:f>SUM(P20:V20)</x:f>
        <x:v>7</x:v>
      </x:c>
      <x:c r="X20" s="330" t="str">
        <x:f>IF(W20&gt;=Thresholds!$C$14,"Red",IF(W20&gt;=Thresholds!$B$14,"Yellow","Green"))</x:f>
        <x:v>Red</x:v>
      </x:c>
    </x:row>
    <x:row r="21">
      <x:c r="A21" s="330" t="str">
        <x:v>PRJ-067</x:v>
      </x:c>
      <x:c r="B21" s="330" t="str">
        <x:v>Riverbend Housing Community</x:v>
      </x:c>
      <x:c r="C21" s="330" t="str">
        <x:v>Residential</x:v>
      </x:c>
      <x:c r="D21" s="330" t="str">
        <x:v>CMAR</x:v>
      </x:c>
      <x:c r="E21" s="336" t="n">
        <x:v>19724000</x:v>
      </x:c>
      <x:c r="F21" s="330" t="n">
        <x:v>36</x:v>
      </x:c>
      <x:c r="G21" s="499" t="n">
        <x:v>18.9375</x:v>
      </x:c>
      <x:c r="H21" s="338" t="n">
        <x:v>0.25</x:v>
      </x:c>
      <x:c r="I21" s="338" t="n">
        <x:v>0.11109999999999999</x:v>
      </x:c>
      <x:c r="J21" s="338" t="n">
        <x:v>0.0278</x:v>
      </x:c>
      <x:c r="K21" s="499" t="n">
        <x:v>41.375</x:v>
      </x:c>
      <x:c r="L21" s="336" t="n">
        <x:v>55000</x:v>
      </x:c>
      <x:c r="M21" s="334" t="n">
        <x:v>0.0027900000000000004</x:v>
      </x:c>
      <x:c r="N21" s="499" t="n">
        <x:v>7.857142857142857</x:v>
      </x:c>
      <x:c r="O21" s="338" t="n">
        <x:v>0.125</x:v>
      </x:c>
      <x:c r="P21" s="330" t="n">
        <x:f>IF(G21&gt;Thresholds!$C$5,2,IF(G21&gt;Thresholds!$B$5,1,0))</x:f>
        <x:v>2</x:v>
      </x:c>
      <x:c r="Q21" s="330" t="n">
        <x:f>IF(I21&gt;Thresholds!$C$6,2,IF(I21&gt;Thresholds!$B$6,1,0))</x:f>
        <x:v>0</x:v>
      </x:c>
      <x:c r="R21" s="330" t="n">
        <x:f>IF(J21&gt;Thresholds!$C$7,2,IF(J21&gt;Thresholds!$B$7,1,0))</x:f>
        <x:v>1</x:v>
      </x:c>
      <x:c r="S21" s="330" t="n">
        <x:f>IF(K21&gt;Thresholds!$C$8,2,IF(K21&gt;Thresholds!$B$8,1,0))</x:f>
        <x:v>2</x:v>
      </x:c>
      <x:c r="T21" s="330" t="n">
        <x:f>IF(M21&gt;Thresholds!$C$9,2,IF(M21&gt;Thresholds!$B$9,1,0))</x:f>
        <x:v>0</x:v>
      </x:c>
      <x:c r="U21" s="330" t="n">
        <x:f>IF(N21&gt;Thresholds!$C$10,2,IF(N21&gt;Thresholds!$B$10,1,0))</x:f>
        <x:v>1</x:v>
      </x:c>
      <x:c r="V21" s="330" t="n">
        <x:f>IF(O21&gt;Thresholds!$C$11,2,IF(O21&gt;Thresholds!$B$11,1,0))</x:f>
        <x:v>1</x:v>
      </x:c>
      <x:c r="W21" s="330" t="n">
        <x:f>SUM(P21:V21)</x:f>
        <x:v>7</x:v>
      </x:c>
      <x:c r="X21" s="330" t="str">
        <x:f>IF(W21&gt;=Thresholds!$C$14,"Red",IF(W21&gt;=Thresholds!$B$14,"Yellow","Green"))</x:f>
        <x:v>Red</x:v>
      </x:c>
    </x:row>
    <x:row r="22">
      <x:c r="A22" s="330" t="str">
        <x:v>PRJ-008</x:v>
      </x:c>
      <x:c r="B22" s="330" t="str">
        <x:v>Sunset Processing Plant</x:v>
      </x:c>
      <x:c r="C22" s="330" t="str">
        <x:v>Industrial</x:v>
      </x:c>
      <x:c r="D22" s="330" t="str">
        <x:v>IPD</x:v>
      </x:c>
      <x:c r="E22" s="336" t="n">
        <x:v>93076000</x:v>
      </x:c>
      <x:c r="F22" s="330" t="n">
        <x:v>48</x:v>
      </x:c>
      <x:c r="G22" s="499" t="n">
        <x:v>20.704545454545453</x:v>
      </x:c>
      <x:c r="H22" s="338" t="n">
        <x:v>0.0909</x:v>
      </x:c>
      <x:c r="I22" s="338" t="n">
        <x:v>0.0833</x:v>
      </x:c>
      <x:c r="J22" s="338" t="n">
        <x:v>0.0208</x:v>
      </x:c>
      <x:c r="K22" s="499" t="n">
        <x:v>48.4375</x:v>
      </x:c>
      <x:c r="L22" s="336" t="n">
        <x:v>192000</x:v>
      </x:c>
      <x:c r="M22" s="334" t="n">
        <x:v>0.0020599999999999998</x:v>
      </x:c>
      <x:c r="N22" s="499" t="n">
        <x:v>9</x:v>
      </x:c>
      <x:c r="O22" s="338" t="n">
        <x:v>0.0625</x:v>
      </x:c>
      <x:c r="P22" s="330" t="n">
        <x:f>IF(G22&gt;Thresholds!$C$5,2,IF(G22&gt;Thresholds!$B$5,1,0))</x:f>
        <x:v>2</x:v>
      </x:c>
      <x:c r="Q22" s="330" t="n">
        <x:f>IF(I22&gt;Thresholds!$C$6,2,IF(I22&gt;Thresholds!$B$6,1,0))</x:f>
        <x:v>0</x:v>
      </x:c>
      <x:c r="R22" s="330" t="n">
        <x:f>IF(J22&gt;Thresholds!$C$7,2,IF(J22&gt;Thresholds!$B$7,1,0))</x:f>
        <x:v>1</x:v>
      </x:c>
      <x:c r="S22" s="330" t="n">
        <x:f>IF(K22&gt;Thresholds!$C$8,2,IF(K22&gt;Thresholds!$B$8,1,0))</x:f>
        <x:v>2</x:v>
      </x:c>
      <x:c r="T22" s="330" t="n">
        <x:f>IF(M22&gt;Thresholds!$C$9,2,IF(M22&gt;Thresholds!$B$9,1,0))</x:f>
        <x:v>0</x:v>
      </x:c>
      <x:c r="U22" s="330" t="n">
        <x:f>IF(N22&gt;Thresholds!$C$10,2,IF(N22&gt;Thresholds!$B$10,1,0))</x:f>
        <x:v>1</x:v>
      </x:c>
      <x:c r="V22" s="330" t="n">
        <x:f>IF(O22&gt;Thresholds!$C$11,2,IF(O22&gt;Thresholds!$B$11,1,0))</x:f>
        <x:v>1</x:v>
      </x:c>
      <x:c r="W22" s="330" t="n">
        <x:f>SUM(P22:V22)</x:f>
        <x:v>7</x:v>
      </x:c>
      <x:c r="X22" s="330" t="str">
        <x:f>IF(W22&gt;=Thresholds!$C$14,"Red",IF(W22&gt;=Thresholds!$B$14,"Yellow","Green"))</x:f>
        <x:v>Red</x:v>
      </x:c>
    </x:row>
    <x:row r="23">
      <x:c r="A23" s="330" t="str">
        <x:v>PRJ-029</x:v>
      </x:c>
      <x:c r="B23" s="330" t="str">
        <x:v>Frontier Urban Village 2</x:v>
      </x:c>
      <x:c r="C23" s="330" t="str">
        <x:v>Mixed-Use</x:v>
      </x:c>
      <x:c r="D23" s="330" t="str">
        <x:v>Design-Bid-Build</x:v>
      </x:c>
      <x:c r="E23" s="336" t="n">
        <x:v>90078000</x:v>
      </x:c>
      <x:c r="F23" s="330" t="n">
        <x:v>63</x:v>
      </x:c>
      <x:c r="G23" s="499" t="n">
        <x:v>15.589285714285714</x:v>
      </x:c>
      <x:c r="H23" s="338" t="n">
        <x:v>0.2321</x:v>
      </x:c>
      <x:c r="I23" s="338" t="n">
        <x:v>0.11109999999999999</x:v>
      </x:c>
      <x:c r="J23" s="338" t="n">
        <x:v>0.047599999999999996</x:v>
      </x:c>
      <x:c r="K23" s="499" t="n">
        <x:v>22.333333333333332</x:v>
      </x:c>
      <x:c r="L23" s="336" t="n">
        <x:v>2479000</x:v>
      </x:c>
      <x:c r="M23" s="334" t="n">
        <x:v>0.02752</x:v>
      </x:c>
      <x:c r="N23" s="499" t="n">
        <x:v>4</x:v>
      </x:c>
      <x:c r="O23" s="338" t="n">
        <x:v>0</x:v>
      </x:c>
      <x:c r="P23" s="330" t="n">
        <x:f>IF(G23&gt;Thresholds!$C$5,2,IF(G23&gt;Thresholds!$B$5,1,0))</x:f>
        <x:v>2</x:v>
      </x:c>
      <x:c r="Q23" s="330" t="n">
        <x:f>IF(I23&gt;Thresholds!$C$6,2,IF(I23&gt;Thresholds!$B$6,1,0))</x:f>
        <x:v>0</x:v>
      </x:c>
      <x:c r="R23" s="330" t="n">
        <x:f>IF(J23&gt;Thresholds!$C$7,2,IF(J23&gt;Thresholds!$B$7,1,0))</x:f>
        <x:v>1</x:v>
      </x:c>
      <x:c r="S23" s="330" t="n">
        <x:f>IF(K23&gt;Thresholds!$C$8,2,IF(K23&gt;Thresholds!$B$8,1,0))</x:f>
        <x:v>1</x:v>
      </x:c>
      <x:c r="T23" s="330" t="n">
        <x:f>IF(M23&gt;Thresholds!$C$9,2,IF(M23&gt;Thresholds!$B$9,1,0))</x:f>
        <x:v>2</x:v>
      </x:c>
      <x:c r="U23" s="330" t="n">
        <x:f>IF(N23&gt;Thresholds!$C$10,2,IF(N23&gt;Thresholds!$B$10,1,0))</x:f>
        <x:v>0</x:v>
      </x:c>
      <x:c r="V23" s="330" t="n">
        <x:f>IF(O23&gt;Thresholds!$C$11,2,IF(O23&gt;Thresholds!$B$11,1,0))</x:f>
        <x:v>0</x:v>
      </x:c>
      <x:c r="W23" s="330" t="n">
        <x:f>SUM(P23:V23)</x:f>
        <x:v>6</x:v>
      </x:c>
      <x:c r="X23" s="330" t="str">
        <x:f>IF(W23&gt;=Thresholds!$C$14,"Red",IF(W23&gt;=Thresholds!$B$14,"Yellow","Green"))</x:f>
        <x:v>Red</x:v>
      </x:c>
    </x:row>
    <x:row r="24">
      <x:c r="A24" s="330" t="str">
        <x:v>PRJ-087</x:v>
      </x:c>
      <x:c r="B24" s="330" t="str">
        <x:v>Vista Marketplace 2</x:v>
      </x:c>
      <x:c r="C24" s="330" t="str">
        <x:v>Commercial</x:v>
      </x:c>
      <x:c r="D24" s="330" t="str">
        <x:v>CMAR</x:v>
      </x:c>
      <x:c r="E24" s="336" t="n">
        <x:v>17547000</x:v>
      </x:c>
      <x:c r="F24" s="330" t="n">
        <x:v>20</x:v>
      </x:c>
      <x:c r="G24" s="499" t="n">
        <x:v>13.25</x:v>
      </x:c>
      <x:c r="H24" s="338" t="n">
        <x:v>0.5</x:v>
      </x:c>
      <x:c r="I24" s="338" t="n">
        <x:v>0</x:v>
      </x:c>
      <x:c r="J24" s="338" t="n">
        <x:v>0</x:v>
      </x:c>
      <x:c r="K24" s="499" t="n">
        <x:v>36.333333333333336</x:v>
      </x:c>
      <x:c r="L24" s="336" t="n">
        <x:v>307000</x:v>
      </x:c>
      <x:c r="M24" s="334" t="n">
        <x:v>0.0175</x:v>
      </x:c>
      <x:c r="N24" s="499" t="n">
        <x:v>9.166666666666666</x:v>
      </x:c>
      <x:c r="O24" s="338" t="n">
        <x:v>0</x:v>
      </x:c>
      <x:c r="P24" s="330" t="n">
        <x:f>IF(G24&gt;Thresholds!$C$5,2,IF(G24&gt;Thresholds!$B$5,1,0))</x:f>
        <x:v>1</x:v>
      </x:c>
      <x:c r="Q24" s="330" t="n">
        <x:f>IF(I24&gt;Thresholds!$C$6,2,IF(I24&gt;Thresholds!$B$6,1,0))</x:f>
        <x:v>0</x:v>
      </x:c>
      <x:c r="R24" s="330" t="n">
        <x:f>IF(J24&gt;Thresholds!$C$7,2,IF(J24&gt;Thresholds!$B$7,1,0))</x:f>
        <x:v>0</x:v>
      </x:c>
      <x:c r="S24" s="330" t="n">
        <x:f>IF(K24&gt;Thresholds!$C$8,2,IF(K24&gt;Thresholds!$B$8,1,0))</x:f>
        <x:v>2</x:v>
      </x:c>
      <x:c r="T24" s="330" t="n">
        <x:f>IF(M24&gt;Thresholds!$C$9,2,IF(M24&gt;Thresholds!$B$9,1,0))</x:f>
        <x:v>2</x:v>
      </x:c>
      <x:c r="U24" s="330" t="n">
        <x:f>IF(N24&gt;Thresholds!$C$10,2,IF(N24&gt;Thresholds!$B$10,1,0))</x:f>
        <x:v>1</x:v>
      </x:c>
      <x:c r="V24" s="330" t="n">
        <x:f>IF(O24&gt;Thresholds!$C$11,2,IF(O24&gt;Thresholds!$B$11,1,0))</x:f>
        <x:v>0</x:v>
      </x:c>
      <x:c r="W24" s="330" t="n">
        <x:f>SUM(P24:V24)</x:f>
        <x:v>6</x:v>
      </x:c>
      <x:c r="X24" s="330" t="str">
        <x:f>IF(W24&gt;=Thresholds!$C$14,"Red",IF(W24&gt;=Thresholds!$B$14,"Yellow","Green"))</x:f>
        <x:v>Red</x:v>
      </x:c>
    </x:row>
    <x:row r="25">
      <x:c r="A25" s="330" t="str">
        <x:v>PRJ-057</x:v>
      </x:c>
      <x:c r="B25" s="330" t="str">
        <x:v>Summit Community College</x:v>
      </x:c>
      <x:c r="C25" s="330" t="str">
        <x:v>Institutional</x:v>
      </x:c>
      <x:c r="D25" s="330" t="str">
        <x:v>IPD</x:v>
      </x:c>
      <x:c r="E25" s="336" t="n">
        <x:v>25635000</x:v>
      </x:c>
      <x:c r="F25" s="330" t="n">
        <x:v>36</x:v>
      </x:c>
      <x:c r="G25" s="499" t="n">
        <x:v>11.451612903225806</x:v>
      </x:c>
      <x:c r="H25" s="338" t="n">
        <x:v>0.35479999999999995</x:v>
      </x:c>
      <x:c r="I25" s="338" t="n">
        <x:v>0.1389</x:v>
      </x:c>
      <x:c r="J25" s="338" t="n">
        <x:v>0.0556</x:v>
      </x:c>
      <x:c r="K25" s="499" t="n">
        <x:v>25.333333333333332</x:v>
      </x:c>
      <x:c r="L25" s="336" t="n">
        <x:v>350000</x:v>
      </x:c>
      <x:c r="M25" s="334" t="n">
        <x:v>0.01365</x:v>
      </x:c>
      <x:c r="N25" s="499" t="n">
        <x:v>5.333333333333333</x:v>
      </x:c>
      <x:c r="O25" s="338" t="n">
        <x:v>0</x:v>
      </x:c>
      <x:c r="P25" s="330" t="n">
        <x:f>IF(G25&gt;Thresholds!$C$5,2,IF(G25&gt;Thresholds!$B$5,1,0))</x:f>
        <x:v>1</x:v>
      </x:c>
      <x:c r="Q25" s="330" t="n">
        <x:f>IF(I25&gt;Thresholds!$C$6,2,IF(I25&gt;Thresholds!$B$6,1,0))</x:f>
        <x:v>0</x:v>
      </x:c>
      <x:c r="R25" s="330" t="n">
        <x:f>IF(J25&gt;Thresholds!$C$7,2,IF(J25&gt;Thresholds!$B$7,1,0))</x:f>
        <x:v>2</x:v>
      </x:c>
      <x:c r="S25" s="330" t="n">
        <x:f>IF(K25&gt;Thresholds!$C$8,2,IF(K25&gt;Thresholds!$B$8,1,0))</x:f>
        <x:v>1</x:v>
      </x:c>
      <x:c r="T25" s="330" t="n">
        <x:f>IF(M25&gt;Thresholds!$C$9,2,IF(M25&gt;Thresholds!$B$9,1,0))</x:f>
        <x:v>1</x:v>
      </x:c>
      <x:c r="U25" s="330" t="n">
        <x:f>IF(N25&gt;Thresholds!$C$10,2,IF(N25&gt;Thresholds!$B$10,1,0))</x:f>
        <x:v>1</x:v>
      </x:c>
      <x:c r="V25" s="330" t="n">
        <x:f>IF(O25&gt;Thresholds!$C$11,2,IF(O25&gt;Thresholds!$B$11,1,0))</x:f>
        <x:v>0</x:v>
      </x:c>
      <x:c r="W25" s="330" t="n">
        <x:f>SUM(P25:V25)</x:f>
        <x:v>6</x:v>
      </x:c>
      <x:c r="X25" s="330" t="str">
        <x:f>IF(W25&gt;=Thresholds!$C$14,"Red",IF(W25&gt;=Thresholds!$B$14,"Yellow","Green"))</x:f>
        <x:v>Red</x:v>
      </x:c>
    </x:row>
    <x:row r="26">
      <x:c r="A26" s="330" t="str">
        <x:v>PRJ-080</x:v>
      </x:c>
      <x:c r="B26" s="330" t="str">
        <x:v>Granite Water Facility</x:v>
      </x:c>
      <x:c r="C26" s="330" t="str">
        <x:v>Heavy Civil &amp; Infrastructure</x:v>
      </x:c>
      <x:c r="D26" s="330" t="str">
        <x:v>CMAR</x:v>
      </x:c>
      <x:c r="E26" s="336" t="n">
        <x:v>306719000</x:v>
      </x:c>
      <x:c r="F26" s="330" t="n">
        <x:v>30</x:v>
      </x:c>
      <x:c r="G26" s="499" t="n">
        <x:v>9.03448275862069</x:v>
      </x:c>
      <x:c r="H26" s="338" t="n">
        <x:v>0.6897</x:v>
      </x:c>
      <x:c r="I26" s="338" t="n">
        <x:v>0.0333</x:v>
      </x:c>
      <x:c r="J26" s="338" t="n">
        <x:v>0.0333</x:v>
      </x:c>
      <x:c r="K26" s="499" t="n">
        <x:v>28.88888888888889</x:v>
      </x:c>
      <x:c r="L26" s="336" t="n">
        <x:v>3805000</x:v>
      </x:c>
      <x:c r="M26" s="334" t="n">
        <x:v>0.012410000000000001</x:v>
      </x:c>
      <x:c r="N26" s="499" t="n">
        <x:v>10.75</x:v>
      </x:c>
      <x:c r="O26" s="338" t="n">
        <x:v>0.11109999999999999</x:v>
      </x:c>
      <x:c r="P26" s="330" t="n">
        <x:f>IF(G26&gt;Thresholds!$C$5,2,IF(G26&gt;Thresholds!$B$5,1,0))</x:f>
        <x:v>0</x:v>
      </x:c>
      <x:c r="Q26" s="330" t="n">
        <x:f>IF(I26&gt;Thresholds!$C$6,2,IF(I26&gt;Thresholds!$B$6,1,0))</x:f>
        <x:v>0</x:v>
      </x:c>
      <x:c r="R26" s="330" t="n">
        <x:f>IF(J26&gt;Thresholds!$C$7,2,IF(J26&gt;Thresholds!$B$7,1,0))</x:f>
        <x:v>1</x:v>
      </x:c>
      <x:c r="S26" s="330" t="n">
        <x:f>IF(K26&gt;Thresholds!$C$8,2,IF(K26&gt;Thresholds!$B$8,1,0))</x:f>
        <x:v>1</x:v>
      </x:c>
      <x:c r="T26" s="330" t="n">
        <x:f>IF(M26&gt;Thresholds!$C$9,2,IF(M26&gt;Thresholds!$B$9,1,0))</x:f>
        <x:v>1</x:v>
      </x:c>
      <x:c r="U26" s="330" t="n">
        <x:f>IF(N26&gt;Thresholds!$C$10,2,IF(N26&gt;Thresholds!$B$10,1,0))</x:f>
        <x:v>2</x:v>
      </x:c>
      <x:c r="V26" s="330" t="n">
        <x:f>IF(O26&gt;Thresholds!$C$11,2,IF(O26&gt;Thresholds!$B$11,1,0))</x:f>
        <x:v>1</x:v>
      </x:c>
      <x:c r="W26" s="330" t="n">
        <x:f>SUM(P26:V26)</x:f>
        <x:v>6</x:v>
      </x:c>
      <x:c r="X26" s="330" t="str">
        <x:f>IF(W26&gt;=Thresholds!$C$14,"Red",IF(W26&gt;=Thresholds!$B$14,"Yellow","Green"))</x:f>
        <x:v>Red</x:v>
      </x:c>
    </x:row>
    <x:row r="27">
      <x:c r="A27" s="330" t="str">
        <x:v>PRJ-065</x:v>
      </x:c>
      <x:c r="B27" s="330" t="str">
        <x:v>Riverbend Marketplace</x:v>
      </x:c>
      <x:c r="C27" s="330" t="str">
        <x:v>Commercial</x:v>
      </x:c>
      <x:c r="D27" s="330" t="str">
        <x:v>Design-Bid-Build</x:v>
      </x:c>
      <x:c r="E27" s="336" t="n">
        <x:v>43110000</x:v>
      </x:c>
      <x:c r="F27" s="330" t="n">
        <x:v>29</x:v>
      </x:c>
      <x:c r="G27" s="499" t="n">
        <x:v>5.318181818181818</x:v>
      </x:c>
      <x:c r="H27" s="338" t="n">
        <x:v>0.9091</x:v>
      </x:c>
      <x:c r="I27" s="338" t="n">
        <x:v>0.2414</x:v>
      </x:c>
      <x:c r="J27" s="338" t="n">
        <x:v>0.10339999999999999</x:v>
      </x:c>
      <x:c r="K27" s="499" t="n">
        <x:v>18.8</x:v>
      </x:c>
      <x:c r="L27" s="336" t="n">
        <x:v>409000</x:v>
      </x:c>
      <x:c r="M27" s="334" t="n">
        <x:v>0.00949</x:v>
      </x:c>
      <x:c r="N27" s="499" t="n">
        <x:v>4.333333333333333</x:v>
      </x:c>
      <x:c r="O27" s="338" t="n">
        <x:v>0.4</x:v>
      </x:c>
      <x:c r="P27" s="330" t="n">
        <x:f>IF(G27&gt;Thresholds!$C$5,2,IF(G27&gt;Thresholds!$B$5,1,0))</x:f>
        <x:v>0</x:v>
      </x:c>
      <x:c r="Q27" s="330" t="n">
        <x:f>IF(I27&gt;Thresholds!$C$6,2,IF(I27&gt;Thresholds!$B$6,1,0))</x:f>
        <x:v>1</x:v>
      </x:c>
      <x:c r="R27" s="330" t="n">
        <x:f>IF(J27&gt;Thresholds!$C$7,2,IF(J27&gt;Thresholds!$B$7,1,0))</x:f>
        <x:v>2</x:v>
      </x:c>
      <x:c r="S27" s="330" t="n">
        <x:f>IF(K27&gt;Thresholds!$C$8,2,IF(K27&gt;Thresholds!$B$8,1,0))</x:f>
        <x:v>0</x:v>
      </x:c>
      <x:c r="T27" s="330" t="n">
        <x:f>IF(M27&gt;Thresholds!$C$9,2,IF(M27&gt;Thresholds!$B$9,1,0))</x:f>
        <x:v>1</x:v>
      </x:c>
      <x:c r="U27" s="330" t="n">
        <x:f>IF(N27&gt;Thresholds!$C$10,2,IF(N27&gt;Thresholds!$B$10,1,0))</x:f>
        <x:v>0</x:v>
      </x:c>
      <x:c r="V27" s="330" t="n">
        <x:f>IF(O27&gt;Thresholds!$C$11,2,IF(O27&gt;Thresholds!$B$11,1,0))</x:f>
        <x:v>2</x:v>
      </x:c>
      <x:c r="W27" s="330" t="n">
        <x:f>SUM(P27:V27)</x:f>
        <x:v>6</x:v>
      </x:c>
      <x:c r="X27" s="330" t="str">
        <x:f>IF(W27&gt;=Thresholds!$C$14,"Red",IF(W27&gt;=Thresholds!$B$14,"Yellow","Green"))</x:f>
        <x:v>Red</x:v>
      </x:c>
    </x:row>
    <x:row r="28">
      <x:c r="A28" s="330" t="str">
        <x:v>PRJ-036</x:v>
      </x:c>
      <x:c r="B28" s="330" t="str">
        <x:v>Summit Medical Pavilion</x:v>
      </x:c>
      <x:c r="C28" s="330" t="str">
        <x:v>Institutional</x:v>
      </x:c>
      <x:c r="D28" s="330" t="str">
        <x:v>CMAR</x:v>
      </x:c>
      <x:c r="E28" s="336" t="n">
        <x:v>72447000</x:v>
      </x:c>
      <x:c r="F28" s="330" t="n">
        <x:v>46</x:v>
      </x:c>
      <x:c r="G28" s="499" t="n">
        <x:v>15.880952380952381</x:v>
      </x:c>
      <x:c r="H28" s="338" t="n">
        <x:v>0.1905</x:v>
      </x:c>
      <x:c r="I28" s="338" t="n">
        <x:v>0.087</x:v>
      </x:c>
      <x:c r="J28" s="338" t="n">
        <x:v>0</x:v>
      </x:c>
      <x:c r="K28" s="499" t="n">
        <x:v>25.375</x:v>
      </x:c>
      <x:c r="L28" s="336" t="n">
        <x:v>664000</x:v>
      </x:c>
      <x:c r="M28" s="334" t="n">
        <x:v>0.009170000000000001</x:v>
      </x:c>
      <x:c r="N28" s="499" t="n">
        <x:v>7</x:v>
      </x:c>
      <x:c r="O28" s="338" t="n">
        <x:v>0.125</x:v>
      </x:c>
      <x:c r="P28" s="330" t="n">
        <x:f>IF(G28&gt;Thresholds!$C$5,2,IF(G28&gt;Thresholds!$B$5,1,0))</x:f>
        <x:v>2</x:v>
      </x:c>
      <x:c r="Q28" s="330" t="n">
        <x:f>IF(I28&gt;Thresholds!$C$6,2,IF(I28&gt;Thresholds!$B$6,1,0))</x:f>
        <x:v>0</x:v>
      </x:c>
      <x:c r="R28" s="330" t="n">
        <x:f>IF(J28&gt;Thresholds!$C$7,2,IF(J28&gt;Thresholds!$B$7,1,0))</x:f>
        <x:v>0</x:v>
      </x:c>
      <x:c r="S28" s="330" t="n">
        <x:f>IF(K28&gt;Thresholds!$C$8,2,IF(K28&gt;Thresholds!$B$8,1,0))</x:f>
        <x:v>1</x:v>
      </x:c>
      <x:c r="T28" s="330" t="n">
        <x:f>IF(M28&gt;Thresholds!$C$9,2,IF(M28&gt;Thresholds!$B$9,1,0))</x:f>
        <x:v>1</x:v>
      </x:c>
      <x:c r="U28" s="330" t="n">
        <x:f>IF(N28&gt;Thresholds!$C$10,2,IF(N28&gt;Thresholds!$B$10,1,0))</x:f>
        <x:v>1</x:v>
      </x:c>
      <x:c r="V28" s="330" t="n">
        <x:f>IF(O28&gt;Thresholds!$C$11,2,IF(O28&gt;Thresholds!$B$11,1,0))</x:f>
        <x:v>1</x:v>
      </x:c>
      <x:c r="W28" s="330" t="n">
        <x:f>SUM(P28:V28)</x:f>
        <x:v>6</x:v>
      </x:c>
      <x:c r="X28" s="330" t="str">
        <x:f>IF(W28&gt;=Thresholds!$C$14,"Red",IF(W28&gt;=Thresholds!$B$14,"Yellow","Green"))</x:f>
        <x:v>Red</x:v>
      </x:c>
    </x:row>
    <x:row r="29">
      <x:c r="A29" s="330" t="str">
        <x:v>PRJ-082</x:v>
      </x:c>
      <x:c r="B29" s="330" t="str">
        <x:v>Sunset Office Campus</x:v>
      </x:c>
      <x:c r="C29" s="330" t="str">
        <x:v>Commercial</x:v>
      </x:c>
      <x:c r="D29" s="330" t="str">
        <x:v>CMAR</x:v>
      </x:c>
      <x:c r="E29" s="336" t="n">
        <x:v>117378000</x:v>
      </x:c>
      <x:c r="F29" s="330" t="n">
        <x:v>42</x:v>
      </x:c>
      <x:c r="G29" s="499" t="n">
        <x:v>11.314285714285715</x:v>
      </x:c>
      <x:c r="H29" s="338" t="n">
        <x:v>0.4286</x:v>
      </x:c>
      <x:c r="I29" s="338" t="n">
        <x:v>0.16670000000000001</x:v>
      </x:c>
      <x:c r="J29" s="338" t="n">
        <x:v>0.047599999999999996</x:v>
      </x:c>
      <x:c r="K29" s="499" t="n">
        <x:v>18.75</x:v>
      </x:c>
      <x:c r="L29" s="336" t="n">
        <x:v>1030000</x:v>
      </x:c>
      <x:c r="M29" s="334" t="n">
        <x:v>0.00878</x:v>
      </x:c>
      <x:c r="N29" s="499" t="n">
        <x:v>7.428571428571429</x:v>
      </x:c>
      <x:c r="O29" s="338" t="n">
        <x:v>0.125</x:v>
      </x:c>
      <x:c r="P29" s="330" t="n">
        <x:f>IF(G29&gt;Thresholds!$C$5,2,IF(G29&gt;Thresholds!$B$5,1,0))</x:f>
        <x:v>1</x:v>
      </x:c>
      <x:c r="Q29" s="330" t="n">
        <x:f>IF(I29&gt;Thresholds!$C$6,2,IF(I29&gt;Thresholds!$B$6,1,0))</x:f>
        <x:v>1</x:v>
      </x:c>
      <x:c r="R29" s="330" t="n">
        <x:f>IF(J29&gt;Thresholds!$C$7,2,IF(J29&gt;Thresholds!$B$7,1,0))</x:f>
        <x:v>1</x:v>
      </x:c>
      <x:c r="S29" s="330" t="n">
        <x:f>IF(K29&gt;Thresholds!$C$8,2,IF(K29&gt;Thresholds!$B$8,1,0))</x:f>
        <x:v>0</x:v>
      </x:c>
      <x:c r="T29" s="330" t="n">
        <x:f>IF(M29&gt;Thresholds!$C$9,2,IF(M29&gt;Thresholds!$B$9,1,0))</x:f>
        <x:v>1</x:v>
      </x:c>
      <x:c r="U29" s="330" t="n">
        <x:f>IF(N29&gt;Thresholds!$C$10,2,IF(N29&gt;Thresholds!$B$10,1,0))</x:f>
        <x:v>1</x:v>
      </x:c>
      <x:c r="V29" s="330" t="n">
        <x:f>IF(O29&gt;Thresholds!$C$11,2,IF(O29&gt;Thresholds!$B$11,1,0))</x:f>
        <x:v>1</x:v>
      </x:c>
      <x:c r="W29" s="330" t="n">
        <x:f>SUM(P29:V29)</x:f>
        <x:v>6</x:v>
      </x:c>
      <x:c r="X29" s="330" t="str">
        <x:f>IF(W29&gt;=Thresholds!$C$14,"Red",IF(W29&gt;=Thresholds!$B$14,"Yellow","Green"))</x:f>
        <x:v>Red</x:v>
      </x:c>
    </x:row>
    <x:row r="30">
      <x:c r="A30" s="330" t="str">
        <x:v>PRJ-059</x:v>
      </x:c>
      <x:c r="B30" s="330" t="str">
        <x:v>Vista Transit-Oriented Development</x:v>
      </x:c>
      <x:c r="C30" s="330" t="str">
        <x:v>Mixed-Use</x:v>
      </x:c>
      <x:c r="D30" s="330" t="str">
        <x:v>IPD</x:v>
      </x:c>
      <x:c r="E30" s="336" t="n">
        <x:v>93219000</x:v>
      </x:c>
      <x:c r="F30" s="330" t="n">
        <x:v>36</x:v>
      </x:c>
      <x:c r="G30" s="499" t="n">
        <x:v>8.3125</x:v>
      </x:c>
      <x:c r="H30" s="338" t="n">
        <x:v>0.6562</x:v>
      </x:c>
      <x:c r="I30" s="338" t="n">
        <x:v>0.11109999999999999</x:v>
      </x:c>
      <x:c r="J30" s="338" t="n">
        <x:v>0.11109999999999999</x:v>
      </x:c>
      <x:c r="K30" s="499" t="n">
        <x:v>20.6</x:v>
      </x:c>
      <x:c r="L30" s="336" t="n">
        <x:v>335000</x:v>
      </x:c>
      <x:c r="M30" s="334" t="n">
        <x:v>0.00359</x:v>
      </x:c>
      <x:c r="N30" s="499" t="n">
        <x:v>7.5</x:v>
      </x:c>
      <x:c r="O30" s="338" t="n">
        <x:v>0.2</x:v>
      </x:c>
      <x:c r="P30" s="330" t="n">
        <x:f>IF(G30&gt;Thresholds!$C$5,2,IF(G30&gt;Thresholds!$B$5,1,0))</x:f>
        <x:v>0</x:v>
      </x:c>
      <x:c r="Q30" s="330" t="n">
        <x:f>IF(I30&gt;Thresholds!$C$6,2,IF(I30&gt;Thresholds!$B$6,1,0))</x:f>
        <x:v>0</x:v>
      </x:c>
      <x:c r="R30" s="330" t="n">
        <x:f>IF(J30&gt;Thresholds!$C$7,2,IF(J30&gt;Thresholds!$B$7,1,0))</x:f>
        <x:v>2</x:v>
      </x:c>
      <x:c r="S30" s="330" t="n">
        <x:f>IF(K30&gt;Thresholds!$C$8,2,IF(K30&gt;Thresholds!$B$8,1,0))</x:f>
        <x:v>1</x:v>
      </x:c>
      <x:c r="T30" s="330" t="n">
        <x:f>IF(M30&gt;Thresholds!$C$9,2,IF(M30&gt;Thresholds!$B$9,1,0))</x:f>
        <x:v>0</x:v>
      </x:c>
      <x:c r="U30" s="330" t="n">
        <x:f>IF(N30&gt;Thresholds!$C$10,2,IF(N30&gt;Thresholds!$B$10,1,0))</x:f>
        <x:v>1</x:v>
      </x:c>
      <x:c r="V30" s="330" t="n">
        <x:f>IF(O30&gt;Thresholds!$C$11,2,IF(O30&gt;Thresholds!$B$11,1,0))</x:f>
        <x:v>2</x:v>
      </x:c>
      <x:c r="W30" s="330" t="n">
        <x:f>SUM(P30:V30)</x:f>
        <x:v>6</x:v>
      </x:c>
      <x:c r="X30" s="330" t="str">
        <x:f>IF(W30&gt;=Thresholds!$C$14,"Red",IF(W30&gt;=Thresholds!$B$14,"Yellow","Green"))</x:f>
        <x:v>Red</x:v>
      </x:c>
    </x:row>
    <x:row r="31">
      <x:c r="A31" s="330" t="str">
        <x:v>PRJ-026</x:v>
      </x:c>
      <x:c r="B31" s="330" t="str">
        <x:v>Blue Mesa Processing Plant</x:v>
      </x:c>
      <x:c r="C31" s="330" t="str">
        <x:v>Industrial</x:v>
      </x:c>
      <x:c r="D31" s="330" t="str">
        <x:v>Design-Build</x:v>
      </x:c>
      <x:c r="E31" s="336" t="n">
        <x:v>166383000</x:v>
      </x:c>
      <x:c r="F31" s="330" t="n">
        <x:v>17</x:v>
      </x:c>
      <x:c r="G31" s="499" t="n">
        <x:v>5.466666666666667</x:v>
      </x:c>
      <x:c r="H31" s="338" t="n">
        <x:v>0.7333</x:v>
      </x:c>
      <x:c r="I31" s="338" t="n">
        <x:v>0.1176</x:v>
      </x:c>
      <x:c r="J31" s="338" t="n">
        <x:v>0.0588</x:v>
      </x:c>
      <x:c r="K31" s="499" t="n">
        <x:v>20.75</x:v>
      </x:c>
      <x:c r="L31" s="336" t="n">
        <x:v>545000</x:v>
      </x:c>
      <x:c r="M31" s="334" t="n">
        <x:v>0.00328</x:v>
      </x:c>
      <x:c r="N31" s="499" t="n">
        <x:v>8</x:v>
      </x:c>
      <x:c r="O31" s="338" t="n">
        <x:v>0.25</x:v>
      </x:c>
      <x:c r="P31" s="330" t="n">
        <x:f>IF(G31&gt;Thresholds!$C$5,2,IF(G31&gt;Thresholds!$B$5,1,0))</x:f>
        <x:v>0</x:v>
      </x:c>
      <x:c r="Q31" s="330" t="n">
        <x:f>IF(I31&gt;Thresholds!$C$6,2,IF(I31&gt;Thresholds!$B$6,1,0))</x:f>
        <x:v>0</x:v>
      </x:c>
      <x:c r="R31" s="330" t="n">
        <x:f>IF(J31&gt;Thresholds!$C$7,2,IF(J31&gt;Thresholds!$B$7,1,0))</x:f>
        <x:v>2</x:v>
      </x:c>
      <x:c r="S31" s="330" t="n">
        <x:f>IF(K31&gt;Thresholds!$C$8,2,IF(K31&gt;Thresholds!$B$8,1,0))</x:f>
        <x:v>1</x:v>
      </x:c>
      <x:c r="T31" s="330" t="n">
        <x:f>IF(M31&gt;Thresholds!$C$9,2,IF(M31&gt;Thresholds!$B$9,1,0))</x:f>
        <x:v>0</x:v>
      </x:c>
      <x:c r="U31" s="330" t="n">
        <x:f>IF(N31&gt;Thresholds!$C$10,2,IF(N31&gt;Thresholds!$B$10,1,0))</x:f>
        <x:v>1</x:v>
      </x:c>
      <x:c r="V31" s="330" t="n">
        <x:f>IF(O31&gt;Thresholds!$C$11,2,IF(O31&gt;Thresholds!$B$11,1,0))</x:f>
        <x:v>2</x:v>
      </x:c>
      <x:c r="W31" s="330" t="n">
        <x:f>SUM(P31:V31)</x:f>
        <x:v>6</x:v>
      </x:c>
      <x:c r="X31" s="330" t="str">
        <x:f>IF(W31&gt;=Thresholds!$C$14,"Red",IF(W31&gt;=Thresholds!$B$14,"Yellow","Green"))</x:f>
        <x:v>Red</x:v>
      </x:c>
    </x:row>
    <x:row r="32">
      <x:c r="A32" s="330" t="str">
        <x:v>PRJ-043</x:v>
      </x:c>
      <x:c r="B32" s="330" t="str">
        <x:v>Copper Ridge Apartments</x:v>
      </x:c>
      <x:c r="C32" s="330" t="str">
        <x:v>Residential</x:v>
      </x:c>
      <x:c r="D32" s="330" t="str">
        <x:v>CMAR</x:v>
      </x:c>
      <x:c r="E32" s="336" t="n">
        <x:v>66206000</x:v>
      </x:c>
      <x:c r="F32" s="330" t="n">
        <x:v>35</x:v>
      </x:c>
      <x:c r="G32" s="499" t="n">
        <x:v>11.161290322580646</x:v>
      </x:c>
      <x:c r="H32" s="338" t="n">
        <x:v>0.35479999999999995</x:v>
      </x:c>
      <x:c r="I32" s="338" t="n">
        <x:v>0.1143</x:v>
      </x:c>
      <x:c r="J32" s="338" t="n">
        <x:v>0.0571</x:v>
      </x:c>
      <x:c r="K32" s="499" t="n">
        <x:v>25.75</x:v>
      </x:c>
      <x:c r="L32" s="336" t="n">
        <x:v>156000</x:v>
      </x:c>
      <x:c r="M32" s="334" t="n">
        <x:v>0.0023599999999999997</x:v>
      </x:c>
      <x:c r="N32" s="499" t="n">
        <x:v>7.545454545454546</x:v>
      </x:c>
      <x:c r="O32" s="338" t="n">
        <x:v>0.0833</x:v>
      </x:c>
      <x:c r="P32" s="330" t="n">
        <x:f>IF(G32&gt;Thresholds!$C$5,2,IF(G32&gt;Thresholds!$B$5,1,0))</x:f>
        <x:v>1</x:v>
      </x:c>
      <x:c r="Q32" s="330" t="n">
        <x:f>IF(I32&gt;Thresholds!$C$6,2,IF(I32&gt;Thresholds!$B$6,1,0))</x:f>
        <x:v>0</x:v>
      </x:c>
      <x:c r="R32" s="330" t="n">
        <x:f>IF(J32&gt;Thresholds!$C$7,2,IF(J32&gt;Thresholds!$B$7,1,0))</x:f>
        <x:v>2</x:v>
      </x:c>
      <x:c r="S32" s="330" t="n">
        <x:f>IF(K32&gt;Thresholds!$C$8,2,IF(K32&gt;Thresholds!$B$8,1,0))</x:f>
        <x:v>1</x:v>
      </x:c>
      <x:c r="T32" s="330" t="n">
        <x:f>IF(M32&gt;Thresholds!$C$9,2,IF(M32&gt;Thresholds!$B$9,1,0))</x:f>
        <x:v>0</x:v>
      </x:c>
      <x:c r="U32" s="330" t="n">
        <x:f>IF(N32&gt;Thresholds!$C$10,2,IF(N32&gt;Thresholds!$B$10,1,0))</x:f>
        <x:v>1</x:v>
      </x:c>
      <x:c r="V32" s="330" t="n">
        <x:f>IF(O32&gt;Thresholds!$C$11,2,IF(O32&gt;Thresholds!$B$11,1,0))</x:f>
        <x:v>1</x:v>
      </x:c>
      <x:c r="W32" s="330" t="n">
        <x:f>SUM(P32:V32)</x:f>
        <x:v>6</x:v>
      </x:c>
      <x:c r="X32" s="330" t="str">
        <x:f>IF(W32&gt;=Thresholds!$C$14,"Red",IF(W32&gt;=Thresholds!$B$14,"Yellow","Green"))</x:f>
        <x:v>Red</x:v>
      </x:c>
    </x:row>
    <x:row r="33">
      <x:c r="A33" s="330" t="str">
        <x:v>PRJ-002</x:v>
      </x:c>
      <x:c r="B33" s="330" t="str">
        <x:v>Northstar Bridge Rehabilitation</x:v>
      </x:c>
      <x:c r="C33" s="330" t="str">
        <x:v>Heavy Civil &amp; Infrastructure</x:v>
      </x:c>
      <x:c r="D33" s="330" t="str">
        <x:v>Design-Build</x:v>
      </x:c>
      <x:c r="E33" s="336" t="n">
        <x:v>245471000</x:v>
      </x:c>
      <x:c r="F33" s="330" t="n">
        <x:v>65</x:v>
      </x:c>
      <x:c r="G33" s="499" t="n">
        <x:v>13.660714285714286</x:v>
      </x:c>
      <x:c r="H33" s="338" t="n">
        <x:v>0.375</x:v>
      </x:c>
      <x:c r="I33" s="338" t="n">
        <x:v>0.13849999999999998</x:v>
      </x:c>
      <x:c r="J33" s="338" t="n">
        <x:v>0.09230000000000001</x:v>
      </x:c>
      <x:c r="K33" s="499" t="n">
        <x:v>29.181818181818183</x:v>
      </x:c>
      <x:c r="L33" s="336" t="n">
        <x:v>144000</x:v>
      </x:c>
      <x:c r="M33" s="334" t="n">
        <x:v>0.0005899999999999999</x:v>
      </x:c>
      <x:c r="N33" s="499" t="n">
        <x:v>5</x:v>
      </x:c>
      <x:c r="O33" s="338" t="n">
        <x:v>0.2727</x:v>
      </x:c>
      <x:c r="P33" s="330" t="n">
        <x:f>IF(G33&gt;Thresholds!$C$5,2,IF(G33&gt;Thresholds!$B$5,1,0))</x:f>
        <x:v>1</x:v>
      </x:c>
      <x:c r="Q33" s="330" t="n">
        <x:f>IF(I33&gt;Thresholds!$C$6,2,IF(I33&gt;Thresholds!$B$6,1,0))</x:f>
        <x:v>0</x:v>
      </x:c>
      <x:c r="R33" s="330" t="n">
        <x:f>IF(J33&gt;Thresholds!$C$7,2,IF(J33&gt;Thresholds!$B$7,1,0))</x:f>
        <x:v>2</x:v>
      </x:c>
      <x:c r="S33" s="330" t="n">
        <x:f>IF(K33&gt;Thresholds!$C$8,2,IF(K33&gt;Thresholds!$B$8,1,0))</x:f>
        <x:v>1</x:v>
      </x:c>
      <x:c r="T33" s="330" t="n">
        <x:f>IF(M33&gt;Thresholds!$C$9,2,IF(M33&gt;Thresholds!$B$9,1,0))</x:f>
        <x:v>0</x:v>
      </x:c>
      <x:c r="U33" s="330" t="n">
        <x:f>IF(N33&gt;Thresholds!$C$10,2,IF(N33&gt;Thresholds!$B$10,1,0))</x:f>
        <x:v>0</x:v>
      </x:c>
      <x:c r="V33" s="330" t="n">
        <x:f>IF(O33&gt;Thresholds!$C$11,2,IF(O33&gt;Thresholds!$B$11,1,0))</x:f>
        <x:v>2</x:v>
      </x:c>
      <x:c r="W33" s="330" t="n">
        <x:f>SUM(P33:V33)</x:f>
        <x:v>6</x:v>
      </x:c>
      <x:c r="X33" s="330" t="str">
        <x:f>IF(W33&gt;=Thresholds!$C$14,"Red",IF(W33&gt;=Thresholds!$B$14,"Yellow","Green"))</x:f>
        <x:v>Red</x:v>
      </x:c>
    </x:row>
    <x:row r="34">
      <x:c r="A34" s="330" t="str">
        <x:v>PRJ-023</x:v>
      </x:c>
      <x:c r="B34" s="330" t="str">
        <x:v>Vista Retail Pavilion</x:v>
      </x:c>
      <x:c r="C34" s="330" t="str">
        <x:v>Commercial</x:v>
      </x:c>
      <x:c r="D34" s="330" t="str">
        <x:v>IPD</x:v>
      </x:c>
      <x:c r="E34" s="336" t="n">
        <x:v>36537000</x:v>
      </x:c>
      <x:c r="F34" s="330" t="n">
        <x:v>40</x:v>
      </x:c>
      <x:c r="G34" s="499" t="n">
        <x:v>18.08108108108108</x:v>
      </x:c>
      <x:c r="H34" s="338" t="n">
        <x:v>0.1351</x:v>
      </x:c>
      <x:c r="I34" s="338" t="n">
        <x:v>0.075</x:v>
      </x:c>
      <x:c r="J34" s="338" t="n">
        <x:v>0.05</x:v>
      </x:c>
      <x:c r="K34" s="499" t="n">
        <x:v>39</x:v>
      </x:c>
      <x:c r="L34" s="336" t="n">
        <x:v>0</x:v>
      </x:c>
      <x:c r="M34" s="334" t="n">
        <x:v>0</x:v>
      </x:c>
      <x:c r="N34" s="499" t="n">
        <x:v>8.333333333333334</x:v>
      </x:c>
      <x:c r="O34" s="338" t="n">
        <x:v>0</x:v>
      </x:c>
      <x:c r="P34" s="330" t="n">
        <x:f>IF(G34&gt;Thresholds!$C$5,2,IF(G34&gt;Thresholds!$B$5,1,0))</x:f>
        <x:v>2</x:v>
      </x:c>
      <x:c r="Q34" s="330" t="n">
        <x:f>IF(I34&gt;Thresholds!$C$6,2,IF(I34&gt;Thresholds!$B$6,1,0))</x:f>
        <x:v>0</x:v>
      </x:c>
      <x:c r="R34" s="330" t="n">
        <x:f>IF(J34&gt;Thresholds!$C$7,2,IF(J34&gt;Thresholds!$B$7,1,0))</x:f>
        <x:v>1</x:v>
      </x:c>
      <x:c r="S34" s="330" t="n">
        <x:f>IF(K34&gt;Thresholds!$C$8,2,IF(K34&gt;Thresholds!$B$8,1,0))</x:f>
        <x:v>2</x:v>
      </x:c>
      <x:c r="T34" s="330" t="n">
        <x:f>IF(M34&gt;Thresholds!$C$9,2,IF(M34&gt;Thresholds!$B$9,1,0))</x:f>
        <x:v>0</x:v>
      </x:c>
      <x:c r="U34" s="330" t="n">
        <x:f>IF(N34&gt;Thresholds!$C$10,2,IF(N34&gt;Thresholds!$B$10,1,0))</x:f>
        <x:v>1</x:v>
      </x:c>
      <x:c r="V34" s="330" t="n">
        <x:f>IF(O34&gt;Thresholds!$C$11,2,IF(O34&gt;Thresholds!$B$11,1,0))</x:f>
        <x:v>0</x:v>
      </x:c>
      <x:c r="W34" s="330" t="n">
        <x:f>SUM(P34:V34)</x:f>
        <x:v>6</x:v>
      </x:c>
      <x:c r="X34" s="330" t="str">
        <x:f>IF(W34&gt;=Thresholds!$C$14,"Red",IF(W34&gt;=Thresholds!$B$14,"Yellow","Green"))</x:f>
        <x:v>Red</x:v>
      </x:c>
    </x:row>
    <x:row r="35">
      <x:c r="A35" s="330" t="str">
        <x:v>PRJ-027</x:v>
      </x:c>
      <x:c r="B35" s="330" t="str">
        <x:v>Red Rock Town Center 2</x:v>
      </x:c>
      <x:c r="C35" s="330" t="str">
        <x:v>Mixed-Use</x:v>
      </x:c>
      <x:c r="D35" s="330" t="str">
        <x:v>Design-Bid-Build</x:v>
      </x:c>
      <x:c r="E35" s="336" t="n">
        <x:v>244845000</x:v>
      </x:c>
      <x:c r="F35" s="330" t="n">
        <x:v>56</x:v>
      </x:c>
      <x:c r="G35" s="499" t="n">
        <x:v>11.134615384615385</x:v>
      </x:c>
      <x:c r="H35" s="338" t="n">
        <x:v>0.5192</x:v>
      </x:c>
      <x:c r="I35" s="338" t="n">
        <x:v>0.07139999999999999</x:v>
      </x:c>
      <x:c r="J35" s="338" t="n">
        <x:v>0.0179</x:v>
      </x:c>
      <x:c r="K35" s="499" t="n">
        <x:v>32.666666666666664</x:v>
      </x:c>
      <x:c r="L35" s="336" t="n">
        <x:v>5490000</x:v>
      </x:c>
      <x:c r="M35" s="334" t="n">
        <x:v>0.02242</x:v>
      </x:c>
      <x:c r="N35" s="499" t="n">
        <x:v>5.333333333333333</x:v>
      </x:c>
      <x:c r="O35" s="338" t="n">
        <x:v>0</x:v>
      </x:c>
      <x:c r="P35" s="330" t="n">
        <x:f>IF(G35&gt;Thresholds!$C$5,2,IF(G35&gt;Thresholds!$B$5,1,0))</x:f>
        <x:v>1</x:v>
      </x:c>
      <x:c r="Q35" s="330" t="n">
        <x:f>IF(I35&gt;Thresholds!$C$6,2,IF(I35&gt;Thresholds!$B$6,1,0))</x:f>
        <x:v>0</x:v>
      </x:c>
      <x:c r="R35" s="330" t="n">
        <x:f>IF(J35&gt;Thresholds!$C$7,2,IF(J35&gt;Thresholds!$B$7,1,0))</x:f>
        <x:v>0</x:v>
      </x:c>
      <x:c r="S35" s="330" t="n">
        <x:f>IF(K35&gt;Thresholds!$C$8,2,IF(K35&gt;Thresholds!$B$8,1,0))</x:f>
        <x:v>1</x:v>
      </x:c>
      <x:c r="T35" s="330" t="n">
        <x:f>IF(M35&gt;Thresholds!$C$9,2,IF(M35&gt;Thresholds!$B$9,1,0))</x:f>
        <x:v>2</x:v>
      </x:c>
      <x:c r="U35" s="330" t="n">
        <x:f>IF(N35&gt;Thresholds!$C$10,2,IF(N35&gt;Thresholds!$B$10,1,0))</x:f>
        <x:v>1</x:v>
      </x:c>
      <x:c r="V35" s="330" t="n">
        <x:f>IF(O35&gt;Thresholds!$C$11,2,IF(O35&gt;Thresholds!$B$11,1,0))</x:f>
        <x:v>0</x:v>
      </x:c>
      <x:c r="W35" s="330" t="n">
        <x:f>SUM(P35:V35)</x:f>
        <x:v>5</x:v>
      </x:c>
      <x:c r="X35" s="330" t="str">
        <x:f>IF(W35&gt;=Thresholds!$C$14,"Red",IF(W35&gt;=Thresholds!$B$14,"Yellow","Green"))</x:f>
        <x:v>Yellow</x:v>
      </x:c>
    </x:row>
    <x:row r="36">
      <x:c r="A36" s="330" t="str">
        <x:v>PRJ-070</x:v>
      </x:c>
      <x:c r="B36" s="330" t="str">
        <x:v>Liberty Manufacturing Facility</x:v>
      </x:c>
      <x:c r="C36" s="330" t="str">
        <x:v>Industrial</x:v>
      </x:c>
      <x:c r="D36" s="330" t="str">
        <x:v>Design-Bid-Build</x:v>
      </x:c>
      <x:c r="E36" s="336" t="n">
        <x:v>100372000</x:v>
      </x:c>
      <x:c r="F36" s="330" t="n">
        <x:v>35</x:v>
      </x:c>
      <x:c r="G36" s="499" t="n">
        <x:v>14.666666666666666</x:v>
      </x:c>
      <x:c r="H36" s="338" t="n">
        <x:v>0.2121</x:v>
      </x:c>
      <x:c r="I36" s="338" t="n">
        <x:v>0.0571</x:v>
      </x:c>
      <x:c r="J36" s="338" t="n">
        <x:v>0</x:v>
      </x:c>
      <x:c r="K36" s="499" t="n">
        <x:v>27.5</x:v>
      </x:c>
      <x:c r="L36" s="336" t="n">
        <x:v>1698000</x:v>
      </x:c>
      <x:c r="M36" s="334" t="n">
        <x:v>0.01692</x:v>
      </x:c>
      <x:c r="N36" s="499" t="n">
        <x:v>5.666666666666667</x:v>
      </x:c>
      <x:c r="O36" s="338" t="n">
        <x:v>0</x:v>
      </x:c>
      <x:c r="P36" s="330" t="n">
        <x:f>IF(G36&gt;Thresholds!$C$5,2,IF(G36&gt;Thresholds!$B$5,1,0))</x:f>
        <x:v>1</x:v>
      </x:c>
      <x:c r="Q36" s="330" t="n">
        <x:f>IF(I36&gt;Thresholds!$C$6,2,IF(I36&gt;Thresholds!$B$6,1,0))</x:f>
        <x:v>0</x:v>
      </x:c>
      <x:c r="R36" s="330" t="n">
        <x:f>IF(J36&gt;Thresholds!$C$7,2,IF(J36&gt;Thresholds!$B$7,1,0))</x:f>
        <x:v>0</x:v>
      </x:c>
      <x:c r="S36" s="330" t="n">
        <x:f>IF(K36&gt;Thresholds!$C$8,2,IF(K36&gt;Thresholds!$B$8,1,0))</x:f>
        <x:v>1</x:v>
      </x:c>
      <x:c r="T36" s="330" t="n">
        <x:f>IF(M36&gt;Thresholds!$C$9,2,IF(M36&gt;Thresholds!$B$9,1,0))</x:f>
        <x:v>2</x:v>
      </x:c>
      <x:c r="U36" s="330" t="n">
        <x:f>IF(N36&gt;Thresholds!$C$10,2,IF(N36&gt;Thresholds!$B$10,1,0))</x:f>
        <x:v>1</x:v>
      </x:c>
      <x:c r="V36" s="330" t="n">
        <x:f>IF(O36&gt;Thresholds!$C$11,2,IF(O36&gt;Thresholds!$B$11,1,0))</x:f>
        <x:v>0</x:v>
      </x:c>
      <x:c r="W36" s="330" t="n">
        <x:f>SUM(P36:V36)</x:f>
        <x:v>5</x:v>
      </x:c>
      <x:c r="X36" s="330" t="str">
        <x:f>IF(W36&gt;=Thresholds!$C$14,"Red",IF(W36&gt;=Thresholds!$B$14,"Yellow","Green"))</x:f>
        <x:v>Yellow</x:v>
      </x:c>
    </x:row>
    <x:row r="37">
      <x:c r="A37" s="330" t="str">
        <x:v>PRJ-032</x:v>
      </x:c>
      <x:c r="B37" s="330" t="str">
        <x:v>Blue Mesa Research Center</x:v>
      </x:c>
      <x:c r="C37" s="330" t="str">
        <x:v>Institutional</x:v>
      </x:c>
      <x:c r="D37" s="330" t="str">
        <x:v>Design-Build</x:v>
      </x:c>
      <x:c r="E37" s="336" t="n">
        <x:v>43278000</x:v>
      </x:c>
      <x:c r="F37" s="330" t="n">
        <x:v>21</x:v>
      </x:c>
      <x:c r="G37" s="499" t="n">
        <x:v>8.80952380952381</x:v>
      </x:c>
      <x:c r="H37" s="338" t="n">
        <x:v>0.5714</x:v>
      </x:c>
      <x:c r="I37" s="338" t="n">
        <x:v>0</x:v>
      </x:c>
      <x:c r="J37" s="338" t="n">
        <x:v>0</x:v>
      </x:c>
      <x:c r="K37" s="499" t="n">
        <x:v>27.125</x:v>
      </x:c>
      <x:c r="L37" s="336" t="n">
        <x:v>652000</x:v>
      </x:c>
      <x:c r="M37" s="334" t="n">
        <x:v>0.015069999999999998</x:v>
      </x:c>
      <x:c r="N37" s="499" t="n">
        <x:v>8.571428571428571</x:v>
      </x:c>
      <x:c r="O37" s="338" t="n">
        <x:v>0.125</x:v>
      </x:c>
      <x:c r="P37" s="330" t="n">
        <x:f>IF(G37&gt;Thresholds!$C$5,2,IF(G37&gt;Thresholds!$B$5,1,0))</x:f>
        <x:v>0</x:v>
      </x:c>
      <x:c r="Q37" s="330" t="n">
        <x:f>IF(I37&gt;Thresholds!$C$6,2,IF(I37&gt;Thresholds!$B$6,1,0))</x:f>
        <x:v>0</x:v>
      </x:c>
      <x:c r="R37" s="330" t="n">
        <x:f>IF(J37&gt;Thresholds!$C$7,2,IF(J37&gt;Thresholds!$B$7,1,0))</x:f>
        <x:v>0</x:v>
      </x:c>
      <x:c r="S37" s="330" t="n">
        <x:f>IF(K37&gt;Thresholds!$C$8,2,IF(K37&gt;Thresholds!$B$8,1,0))</x:f>
        <x:v>1</x:v>
      </x:c>
      <x:c r="T37" s="330" t="n">
        <x:f>IF(M37&gt;Thresholds!$C$9,2,IF(M37&gt;Thresholds!$B$9,1,0))</x:f>
        <x:v>2</x:v>
      </x:c>
      <x:c r="U37" s="330" t="n">
        <x:f>IF(N37&gt;Thresholds!$C$10,2,IF(N37&gt;Thresholds!$B$10,1,0))</x:f>
        <x:v>1</x:v>
      </x:c>
      <x:c r="V37" s="330" t="n">
        <x:f>IF(O37&gt;Thresholds!$C$11,2,IF(O37&gt;Thresholds!$B$11,1,0))</x:f>
        <x:v>1</x:v>
      </x:c>
      <x:c r="W37" s="330" t="n">
        <x:f>SUM(P37:V37)</x:f>
        <x:v>5</x:v>
      </x:c>
      <x:c r="X37" s="330" t="str">
        <x:f>IF(W37&gt;=Thresholds!$C$14,"Red",IF(W37&gt;=Thresholds!$B$14,"Yellow","Green"))</x:f>
        <x:v>Yellow</x:v>
      </x:c>
    </x:row>
    <x:row r="38">
      <x:c r="A38" s="330" t="str">
        <x:v>PRJ-047</x:v>
      </x:c>
      <x:c r="B38" s="330" t="str">
        <x:v>Desert View Marketplace</x:v>
      </x:c>
      <x:c r="C38" s="330" t="str">
        <x:v>Commercial</x:v>
      </x:c>
      <x:c r="D38" s="330" t="str">
        <x:v>CMAR</x:v>
      </x:c>
      <x:c r="E38" s="336" t="n">
        <x:v>75198000</x:v>
      </x:c>
      <x:c r="F38" s="330" t="n">
        <x:v>24</x:v>
      </x:c>
      <x:c r="G38" s="499" t="n">
        <x:v>7.2727272727272725</x:v>
      </x:c>
      <x:c r="H38" s="338" t="n">
        <x:v>0.7726999999999999</x:v>
      </x:c>
      <x:c r="I38" s="338" t="n">
        <x:v>0.0833</x:v>
      </x:c>
      <x:c r="J38" s="338" t="n">
        <x:v>0.0417</x:v>
      </x:c>
      <x:c r="K38" s="499" t="n">
        <x:v>26</x:v>
      </x:c>
      <x:c r="L38" s="336" t="n">
        <x:v>924000</x:v>
      </x:c>
      <x:c r="M38" s="334" t="n">
        <x:v>0.01229</x:v>
      </x:c>
      <x:c r="N38" s="499" t="n">
        <x:v>8.166666666666666</x:v>
      </x:c>
      <x:c r="O38" s="338" t="n">
        <x:v>0.1429</x:v>
      </x:c>
      <x:c r="P38" s="330" t="n">
        <x:f>IF(G38&gt;Thresholds!$C$5,2,IF(G38&gt;Thresholds!$B$5,1,0))</x:f>
        <x:v>0</x:v>
      </x:c>
      <x:c r="Q38" s="330" t="n">
        <x:f>IF(I38&gt;Thresholds!$C$6,2,IF(I38&gt;Thresholds!$B$6,1,0))</x:f>
        <x:v>0</x:v>
      </x:c>
      <x:c r="R38" s="330" t="n">
        <x:f>IF(J38&gt;Thresholds!$C$7,2,IF(J38&gt;Thresholds!$B$7,1,0))</x:f>
        <x:v>1</x:v>
      </x:c>
      <x:c r="S38" s="330" t="n">
        <x:f>IF(K38&gt;Thresholds!$C$8,2,IF(K38&gt;Thresholds!$B$8,1,0))</x:f>
        <x:v>1</x:v>
      </x:c>
      <x:c r="T38" s="330" t="n">
        <x:f>IF(M38&gt;Thresholds!$C$9,2,IF(M38&gt;Thresholds!$B$9,1,0))</x:f>
        <x:v>1</x:v>
      </x:c>
      <x:c r="U38" s="330" t="n">
        <x:f>IF(N38&gt;Thresholds!$C$10,2,IF(N38&gt;Thresholds!$B$10,1,0))</x:f>
        <x:v>1</x:v>
      </x:c>
      <x:c r="V38" s="330" t="n">
        <x:f>IF(O38&gt;Thresholds!$C$11,2,IF(O38&gt;Thresholds!$B$11,1,0))</x:f>
        <x:v>1</x:v>
      </x:c>
      <x:c r="W38" s="330" t="n">
        <x:f>SUM(P38:V38)</x:f>
        <x:v>5</x:v>
      </x:c>
      <x:c r="X38" s="330" t="str">
        <x:f>IF(W38&gt;=Thresholds!$C$14,"Red",IF(W38&gt;=Thresholds!$B$14,"Yellow","Green"))</x:f>
        <x:v>Yellow</x:v>
      </x:c>
    </x:row>
    <x:row r="39">
      <x:c r="A39" s="330" t="str">
        <x:v>PRJ-064</x:v>
      </x:c>
      <x:c r="B39" s="330" t="str">
        <x:v>Riverbend Civic Complex</x:v>
      </x:c>
      <x:c r="C39" s="330" t="str">
        <x:v>Institutional</x:v>
      </x:c>
      <x:c r="D39" s="330" t="str">
        <x:v>Design-Bid-Build</x:v>
      </x:c>
      <x:c r="E39" s="336" t="n">
        <x:v>89816000</x:v>
      </x:c>
      <x:c r="F39" s="330" t="n">
        <x:v>32</x:v>
      </x:c>
      <x:c r="G39" s="499" t="n">
        <x:v>11.074074074074074</x:v>
      </x:c>
      <x:c r="H39" s="338" t="n">
        <x:v>0.5185</x:v>
      </x:c>
      <x:c r="I39" s="338" t="n">
        <x:v>0.1562</x:v>
      </x:c>
      <x:c r="J39" s="338" t="n">
        <x:v>0.031200000000000002</x:v>
      </x:c>
      <x:c r="K39" s="499" t="n">
        <x:v>22</x:v>
      </x:c>
      <x:c r="L39" s="336" t="n">
        <x:v>1051000</x:v>
      </x:c>
      <x:c r="M39" s="334" t="n">
        <x:v>0.011699999999999999</x:v>
      </x:c>
      <x:c r="N39" s="499" t="n">
        <x:v>4</x:v>
      </x:c>
      <x:c r="O39" s="338" t="n">
        <x:v>0</x:v>
      </x:c>
      <x:c r="P39" s="330" t="n">
        <x:f>IF(G39&gt;Thresholds!$C$5,2,IF(G39&gt;Thresholds!$B$5,1,0))</x:f>
        <x:v>1</x:v>
      </x:c>
      <x:c r="Q39" s="330" t="n">
        <x:f>IF(I39&gt;Thresholds!$C$6,2,IF(I39&gt;Thresholds!$B$6,1,0))</x:f>
        <x:v>1</x:v>
      </x:c>
      <x:c r="R39" s="330" t="n">
        <x:f>IF(J39&gt;Thresholds!$C$7,2,IF(J39&gt;Thresholds!$B$7,1,0))</x:f>
        <x:v>1</x:v>
      </x:c>
      <x:c r="S39" s="330" t="n">
        <x:f>IF(K39&gt;Thresholds!$C$8,2,IF(K39&gt;Thresholds!$B$8,1,0))</x:f>
        <x:v>1</x:v>
      </x:c>
      <x:c r="T39" s="330" t="n">
        <x:f>IF(M39&gt;Thresholds!$C$9,2,IF(M39&gt;Thresholds!$B$9,1,0))</x:f>
        <x:v>1</x:v>
      </x:c>
      <x:c r="U39" s="330" t="n">
        <x:f>IF(N39&gt;Thresholds!$C$10,2,IF(N39&gt;Thresholds!$B$10,1,0))</x:f>
        <x:v>0</x:v>
      </x:c>
      <x:c r="V39" s="330" t="n">
        <x:f>IF(O39&gt;Thresholds!$C$11,2,IF(O39&gt;Thresholds!$B$11,1,0))</x:f>
        <x:v>0</x:v>
      </x:c>
      <x:c r="W39" s="330" t="n">
        <x:f>SUM(P39:V39)</x:f>
        <x:v>5</x:v>
      </x:c>
      <x:c r="X39" s="330" t="str">
        <x:f>IF(W39&gt;=Thresholds!$C$14,"Red",IF(W39&gt;=Thresholds!$B$14,"Yellow","Green"))</x:f>
        <x:v>Yellow</x:v>
      </x:c>
    </x:row>
    <x:row r="40">
      <x:c r="A40" s="330" t="str">
        <x:v>PRJ-090</x:v>
      </x:c>
      <x:c r="B40" s="330" t="str">
        <x:v>Sunset Neighborhood</x:v>
      </x:c>
      <x:c r="C40" s="330" t="str">
        <x:v>Residential</x:v>
      </x:c>
      <x:c r="D40" s="330" t="str">
        <x:v>IPD</x:v>
      </x:c>
      <x:c r="E40" s="336" t="n">
        <x:v>64382000</x:v>
      </x:c>
      <x:c r="F40" s="330" t="n">
        <x:v>41</x:v>
      </x:c>
      <x:c r="G40" s="499" t="n">
        <x:v>11.676470588235293</x:v>
      </x:c>
      <x:c r="H40" s="338" t="n">
        <x:v>0.5294</x:v>
      </x:c>
      <x:c r="I40" s="338" t="n">
        <x:v>0.1463</x:v>
      </x:c>
      <x:c r="J40" s="338" t="n">
        <x:v>0</x:v>
      </x:c>
      <x:c r="K40" s="499" t="n">
        <x:v>26.076923076923077</x:v>
      </x:c>
      <x:c r="L40" s="336" t="n">
        <x:v>542000</x:v>
      </x:c>
      <x:c r="M40" s="334" t="n">
        <x:v>0.00842</x:v>
      </x:c>
      <x:c r="N40" s="499" t="n">
        <x:v>8</x:v>
      </x:c>
      <x:c r="O40" s="338" t="n">
        <x:v>0.07690000000000001</x:v>
      </x:c>
      <x:c r="P40" s="330" t="n">
        <x:f>IF(G40&gt;Thresholds!$C$5,2,IF(G40&gt;Thresholds!$B$5,1,0))</x:f>
        <x:v>1</x:v>
      </x:c>
      <x:c r="Q40" s="330" t="n">
        <x:f>IF(I40&gt;Thresholds!$C$6,2,IF(I40&gt;Thresholds!$B$6,1,0))</x:f>
        <x:v>0</x:v>
      </x:c>
      <x:c r="R40" s="330" t="n">
        <x:f>IF(J40&gt;Thresholds!$C$7,2,IF(J40&gt;Thresholds!$B$7,1,0))</x:f>
        <x:v>0</x:v>
      </x:c>
      <x:c r="S40" s="330" t="n">
        <x:f>IF(K40&gt;Thresholds!$C$8,2,IF(K40&gt;Thresholds!$B$8,1,0))</x:f>
        <x:v>1</x:v>
      </x:c>
      <x:c r="T40" s="330" t="n">
        <x:f>IF(M40&gt;Thresholds!$C$9,2,IF(M40&gt;Thresholds!$B$9,1,0))</x:f>
        <x:v>1</x:v>
      </x:c>
      <x:c r="U40" s="330" t="n">
        <x:f>IF(N40&gt;Thresholds!$C$10,2,IF(N40&gt;Thresholds!$B$10,1,0))</x:f>
        <x:v>1</x:v>
      </x:c>
      <x:c r="V40" s="330" t="n">
        <x:f>IF(O40&gt;Thresholds!$C$11,2,IF(O40&gt;Thresholds!$B$11,1,0))</x:f>
        <x:v>1</x:v>
      </x:c>
      <x:c r="W40" s="330" t="n">
        <x:f>SUM(P40:V40)</x:f>
        <x:v>5</x:v>
      </x:c>
      <x:c r="X40" s="330" t="str">
        <x:f>IF(W40&gt;=Thresholds!$C$14,"Red",IF(W40&gt;=Thresholds!$B$14,"Yellow","Green"))</x:f>
        <x:v>Yellow</x:v>
      </x:c>
    </x:row>
    <x:row r="41">
      <x:c r="A41" s="330" t="str">
        <x:v>PRJ-055</x:v>
      </x:c>
      <x:c r="B41" s="330" t="str">
        <x:v>Desert View Marketplace 2</x:v>
      </x:c>
      <x:c r="C41" s="330" t="str">
        <x:v>Commercial</x:v>
      </x:c>
      <x:c r="D41" s="330" t="str">
        <x:v>Design-Build</x:v>
      </x:c>
      <x:c r="E41" s="336" t="n">
        <x:v>137364000</x:v>
      </x:c>
      <x:c r="F41" s="330" t="n">
        <x:v>38</x:v>
      </x:c>
      <x:c r="G41" s="499" t="n">
        <x:v>9.578947368421053</x:v>
      </x:c>
      <x:c r="H41" s="338" t="n">
        <x:v>0.6579</x:v>
      </x:c>
      <x:c r="I41" s="338" t="n">
        <x:v>0</x:v>
      </x:c>
      <x:c r="J41" s="338" t="n">
        <x:v>0</x:v>
      </x:c>
      <x:c r="K41" s="499" t="n">
        <x:v>22.5</x:v>
      </x:c>
      <x:c r="L41" s="336" t="n">
        <x:v>956000</x:v>
      </x:c>
      <x:c r="M41" s="334" t="n">
        <x:v>0.006959999999999999</x:v>
      </x:c>
      <x:c r="N41" s="499" t="n">
        <x:v>8</x:v>
      </x:c>
      <x:c r="O41" s="338" t="n">
        <x:v>0.25</x:v>
      </x:c>
      <x:c r="P41" s="330" t="n">
        <x:f>IF(G41&gt;Thresholds!$C$5,2,IF(G41&gt;Thresholds!$B$5,1,0))</x:f>
        <x:v>0</x:v>
      </x:c>
      <x:c r="Q41" s="330" t="n">
        <x:f>IF(I41&gt;Thresholds!$C$6,2,IF(I41&gt;Thresholds!$B$6,1,0))</x:f>
        <x:v>0</x:v>
      </x:c>
      <x:c r="R41" s="330" t="n">
        <x:f>IF(J41&gt;Thresholds!$C$7,2,IF(J41&gt;Thresholds!$B$7,1,0))</x:f>
        <x:v>0</x:v>
      </x:c>
      <x:c r="S41" s="330" t="n">
        <x:f>IF(K41&gt;Thresholds!$C$8,2,IF(K41&gt;Thresholds!$B$8,1,0))</x:f>
        <x:v>1</x:v>
      </x:c>
      <x:c r="T41" s="330" t="n">
        <x:f>IF(M41&gt;Thresholds!$C$9,2,IF(M41&gt;Thresholds!$B$9,1,0))</x:f>
        <x:v>1</x:v>
      </x:c>
      <x:c r="U41" s="330" t="n">
        <x:f>IF(N41&gt;Thresholds!$C$10,2,IF(N41&gt;Thresholds!$B$10,1,0))</x:f>
        <x:v>1</x:v>
      </x:c>
      <x:c r="V41" s="330" t="n">
        <x:f>IF(O41&gt;Thresholds!$C$11,2,IF(O41&gt;Thresholds!$B$11,1,0))</x:f>
        <x:v>2</x:v>
      </x:c>
      <x:c r="W41" s="330" t="n">
        <x:f>SUM(P41:V41)</x:f>
        <x:v>5</x:v>
      </x:c>
      <x:c r="X41" s="330" t="str">
        <x:f>IF(W41&gt;=Thresholds!$C$14,"Red",IF(W41&gt;=Thresholds!$B$14,"Yellow","Green"))</x:f>
        <x:v>Yellow</x:v>
      </x:c>
    </x:row>
    <x:row r="42">
      <x:c r="A42" s="330" t="str">
        <x:v>PRJ-086</x:v>
      </x:c>
      <x:c r="B42" s="330" t="str">
        <x:v>Mountain Gate Processing Plant</x:v>
      </x:c>
      <x:c r="C42" s="330" t="str">
        <x:v>Industrial</x:v>
      </x:c>
      <x:c r="D42" s="330" t="str">
        <x:v>Design-Bid-Build</x:v>
      </x:c>
      <x:c r="E42" s="336" t="n">
        <x:v>119609000</x:v>
      </x:c>
      <x:c r="F42" s="330" t="n">
        <x:v>43</x:v>
      </x:c>
      <x:c r="G42" s="499" t="n">
        <x:v>9.268292682926829</x:v>
      </x:c>
      <x:c r="H42" s="338" t="n">
        <x:v>0.5122</x:v>
      </x:c>
      <x:c r="I42" s="338" t="n">
        <x:v>0.04650000000000001</x:v>
      </x:c>
      <x:c r="J42" s="338" t="n">
        <x:v>0.0233</x:v>
      </x:c>
      <x:c r="K42" s="499" t="n">
        <x:v>22.5</x:v>
      </x:c>
      <x:c r="L42" s="336" t="n">
        <x:v>761000</x:v>
      </x:c>
      <x:c r="M42" s="334" t="n">
        <x:v>0.00636</x:v>
      </x:c>
      <x:c r="N42" s="499" t="n">
        <x:v>5</x:v>
      </x:c>
      <x:c r="O42" s="338" t="n">
        <x:v>0.3333</x:v>
      </x:c>
      <x:c r="P42" s="330" t="n">
        <x:f>IF(G42&gt;Thresholds!$C$5,2,IF(G42&gt;Thresholds!$B$5,1,0))</x:f>
        <x:v>0</x:v>
      </x:c>
      <x:c r="Q42" s="330" t="n">
        <x:f>IF(I42&gt;Thresholds!$C$6,2,IF(I42&gt;Thresholds!$B$6,1,0))</x:f>
        <x:v>0</x:v>
      </x:c>
      <x:c r="R42" s="330" t="n">
        <x:f>IF(J42&gt;Thresholds!$C$7,2,IF(J42&gt;Thresholds!$B$7,1,0))</x:f>
        <x:v>1</x:v>
      </x:c>
      <x:c r="S42" s="330" t="n">
        <x:f>IF(K42&gt;Thresholds!$C$8,2,IF(K42&gt;Thresholds!$B$8,1,0))</x:f>
        <x:v>1</x:v>
      </x:c>
      <x:c r="T42" s="330" t="n">
        <x:f>IF(M42&gt;Thresholds!$C$9,2,IF(M42&gt;Thresholds!$B$9,1,0))</x:f>
        <x:v>1</x:v>
      </x:c>
      <x:c r="U42" s="330" t="n">
        <x:f>IF(N42&gt;Thresholds!$C$10,2,IF(N42&gt;Thresholds!$B$10,1,0))</x:f>
        <x:v>0</x:v>
      </x:c>
      <x:c r="V42" s="330" t="n">
        <x:f>IF(O42&gt;Thresholds!$C$11,2,IF(O42&gt;Thresholds!$B$11,1,0))</x:f>
        <x:v>2</x:v>
      </x:c>
      <x:c r="W42" s="330" t="n">
        <x:f>SUM(P42:V42)</x:f>
        <x:v>5</x:v>
      </x:c>
      <x:c r="X42" s="330" t="str">
        <x:f>IF(W42&gt;=Thresholds!$C$14,"Red",IF(W42&gt;=Thresholds!$B$14,"Yellow","Green"))</x:f>
        <x:v>Yellow</x:v>
      </x:c>
    </x:row>
    <x:row r="43">
      <x:c r="A43" s="330" t="str">
        <x:v>PRJ-040</x:v>
      </x:c>
      <x:c r="B43" s="330" t="str">
        <x:v>Pioneer Roadway Program</x:v>
      </x:c>
      <x:c r="C43" s="330" t="str">
        <x:v>Heavy Civil &amp; Infrastructure</x:v>
      </x:c>
      <x:c r="D43" s="330" t="str">
        <x:v>CMAR</x:v>
      </x:c>
      <x:c r="E43" s="336" t="n">
        <x:v>39982000</x:v>
      </x:c>
      <x:c r="F43" s="330" t="n">
        <x:v>51</x:v>
      </x:c>
      <x:c r="G43" s="499" t="n">
        <x:v>17.40909090909091</x:v>
      </x:c>
      <x:c r="H43" s="338" t="n">
        <x:v>0.0909</x:v>
      </x:c>
      <x:c r="I43" s="338" t="n">
        <x:v>0.1373</x:v>
      </x:c>
      <x:c r="J43" s="338" t="n">
        <x:v>0</x:v>
      </x:c>
      <x:c r="K43" s="499" t="n">
        <x:v>31.8</x:v>
      </x:c>
      <x:c r="L43" s="336" t="n">
        <x:v>223000</x:v>
      </x:c>
      <x:c r="M43" s="334" t="n">
        <x:v>0.005580000000000001</x:v>
      </x:c>
      <x:c r="N43" s="499" t="n">
        <x:v>9.2</x:v>
      </x:c>
      <x:c r="O43" s="338" t="n">
        <x:v>0</x:v>
      </x:c>
      <x:c r="P43" s="330" t="n">
        <x:f>IF(G43&gt;Thresholds!$C$5,2,IF(G43&gt;Thresholds!$B$5,1,0))</x:f>
        <x:v>2</x:v>
      </x:c>
      <x:c r="Q43" s="330" t="n">
        <x:f>IF(I43&gt;Thresholds!$C$6,2,IF(I43&gt;Thresholds!$B$6,1,0))</x:f>
        <x:v>0</x:v>
      </x:c>
      <x:c r="R43" s="330" t="n">
        <x:f>IF(J43&gt;Thresholds!$C$7,2,IF(J43&gt;Thresholds!$B$7,1,0))</x:f>
        <x:v>0</x:v>
      </x:c>
      <x:c r="S43" s="330" t="n">
        <x:f>IF(K43&gt;Thresholds!$C$8,2,IF(K43&gt;Thresholds!$B$8,1,0))</x:f>
        <x:v>1</x:v>
      </x:c>
      <x:c r="T43" s="330" t="n">
        <x:f>IF(M43&gt;Thresholds!$C$9,2,IF(M43&gt;Thresholds!$B$9,1,0))</x:f>
        <x:v>1</x:v>
      </x:c>
      <x:c r="U43" s="330" t="n">
        <x:f>IF(N43&gt;Thresholds!$C$10,2,IF(N43&gt;Thresholds!$B$10,1,0))</x:f>
        <x:v>1</x:v>
      </x:c>
      <x:c r="V43" s="330" t="n">
        <x:f>IF(O43&gt;Thresholds!$C$11,2,IF(O43&gt;Thresholds!$B$11,1,0))</x:f>
        <x:v>0</x:v>
      </x:c>
      <x:c r="W43" s="330" t="n">
        <x:f>SUM(P43:V43)</x:f>
        <x:v>5</x:v>
      </x:c>
      <x:c r="X43" s="330" t="str">
        <x:f>IF(W43&gt;=Thresholds!$C$14,"Red",IF(W43&gt;=Thresholds!$B$14,"Yellow","Green"))</x:f>
        <x:v>Yellow</x:v>
      </x:c>
    </x:row>
    <x:row r="44">
      <x:c r="A44" s="330" t="str">
        <x:v>PRJ-078</x:v>
      </x:c>
      <x:c r="B44" s="330" t="str">
        <x:v>Northstar Community College</x:v>
      </x:c>
      <x:c r="C44" s="330" t="str">
        <x:v>Institutional</x:v>
      </x:c>
      <x:c r="D44" s="330" t="str">
        <x:v>Design-Bid-Build</x:v>
      </x:c>
      <x:c r="E44" s="336" t="n">
        <x:v>133597000</x:v>
      </x:c>
      <x:c r="F44" s="330" t="n">
        <x:v>35</x:v>
      </x:c>
      <x:c r="G44" s="499" t="n">
        <x:v>6.172413793103448</x:v>
      </x:c>
      <x:c r="H44" s="338" t="n">
        <x:v>0.7241</x:v>
      </x:c>
      <x:c r="I44" s="338" t="n">
        <x:v>0.1714</x:v>
      </x:c>
      <x:c r="J44" s="338" t="n">
        <x:v>0.0571</x:v>
      </x:c>
      <x:c r="K44" s="499" t="n">
        <x:v>8.75</x:v>
      </x:c>
      <x:c r="L44" s="336" t="n">
        <x:v>668000</x:v>
      </x:c>
      <x:c r="M44" s="334" t="n">
        <x:v>0.005</x:v>
      </x:c>
      <x:c r="N44" s="499" t="n">
        <x:v>5.75</x:v>
      </x:c>
      <x:c r="O44" s="338" t="n">
        <x:v>0</x:v>
      </x:c>
      <x:c r="P44" s="330" t="n">
        <x:f>IF(G44&gt;Thresholds!$C$5,2,IF(G44&gt;Thresholds!$B$5,1,0))</x:f>
        <x:v>0</x:v>
      </x:c>
      <x:c r="Q44" s="330" t="n">
        <x:f>IF(I44&gt;Thresholds!$C$6,2,IF(I44&gt;Thresholds!$B$6,1,0))</x:f>
        <x:v>1</x:v>
      </x:c>
      <x:c r="R44" s="330" t="n">
        <x:f>IF(J44&gt;Thresholds!$C$7,2,IF(J44&gt;Thresholds!$B$7,1,0))</x:f>
        <x:v>2</x:v>
      </x:c>
      <x:c r="S44" s="330" t="n">
        <x:f>IF(K44&gt;Thresholds!$C$8,2,IF(K44&gt;Thresholds!$B$8,1,0))</x:f>
        <x:v>0</x:v>
      </x:c>
      <x:c r="T44" s="330" t="n">
        <x:f>IF(M44&gt;Thresholds!$C$9,2,IF(M44&gt;Thresholds!$B$9,1,0))</x:f>
        <x:v>0</x:v>
      </x:c>
      <x:c r="U44" s="330" t="n">
        <x:f>IF(N44&gt;Thresholds!$C$10,2,IF(N44&gt;Thresholds!$B$10,1,0))</x:f>
        <x:v>1</x:v>
      </x:c>
      <x:c r="V44" s="330" t="n">
        <x:f>IF(O44&gt;Thresholds!$C$11,2,IF(O44&gt;Thresholds!$B$11,1,0))</x:f>
        <x:v>0</x:v>
      </x:c>
      <x:c r="W44" s="330" t="n">
        <x:f>SUM(P44:V44)</x:f>
        <x:v>4</x:v>
      </x:c>
      <x:c r="X44" s="330" t="str">
        <x:f>IF(W44&gt;=Thresholds!$C$14,"Red",IF(W44&gt;=Thresholds!$B$14,"Yellow","Green"))</x:f>
        <x:v>Yellow</x:v>
      </x:c>
    </x:row>
    <x:row r="45">
      <x:c r="A45" s="330" t="str">
        <x:v>PRJ-056</x:v>
      </x:c>
      <x:c r="B45" s="330" t="str">
        <x:v>Riverbend Medical Pavilion</x:v>
      </x:c>
      <x:c r="C45" s="330" t="str">
        <x:v>Institutional</x:v>
      </x:c>
      <x:c r="D45" s="330" t="str">
        <x:v>Design-Bid-Build</x:v>
      </x:c>
      <x:c r="E45" s="336" t="n">
        <x:v>127656000</x:v>
      </x:c>
      <x:c r="F45" s="330" t="n">
        <x:v>32</x:v>
      </x:c>
      <x:c r="G45" s="499" t="n">
        <x:v>21.448275862068964</x:v>
      </x:c>
      <x:c r="H45" s="338" t="n">
        <x:v>0.10339999999999999</x:v>
      </x:c>
      <x:c r="I45" s="338" t="n">
        <x:v>0.09380000000000001</x:v>
      </x:c>
      <x:c r="J45" s="338" t="n">
        <x:v>0</x:v>
      </x:c>
      <x:c r="K45" s="499" t="n">
        <x:v>46.55555555555556</x:v>
      </x:c>
      <x:c r="L45" s="336" t="n">
        <x:v>356000</x:v>
      </x:c>
      <x:c r="M45" s="334" t="n">
        <x:v>0.0027900000000000004</x:v>
      </x:c>
      <x:c r="N45" s="499" t="n">
        <x:v>7.666666666666667</x:v>
      </x:c>
      <x:c r="O45" s="338" t="n">
        <x:v>0</x:v>
      </x:c>
      <x:c r="P45" s="330" t="n">
        <x:f>IF(G45&gt;Thresholds!$C$5,2,IF(G45&gt;Thresholds!$B$5,1,0))</x:f>
        <x:v>2</x:v>
      </x:c>
      <x:c r="Q45" s="330" t="n">
        <x:f>IF(I45&gt;Thresholds!$C$6,2,IF(I45&gt;Thresholds!$B$6,1,0))</x:f>
        <x:v>0</x:v>
      </x:c>
      <x:c r="R45" s="330" t="n">
        <x:f>IF(J45&gt;Thresholds!$C$7,2,IF(J45&gt;Thresholds!$B$7,1,0))</x:f>
        <x:v>0</x:v>
      </x:c>
      <x:c r="S45" s="330" t="n">
        <x:f>IF(K45&gt;Thresholds!$C$8,2,IF(K45&gt;Thresholds!$B$8,1,0))</x:f>
        <x:v>2</x:v>
      </x:c>
      <x:c r="T45" s="330" t="n">
        <x:f>IF(M45&gt;Thresholds!$C$9,2,IF(M45&gt;Thresholds!$B$9,1,0))</x:f>
        <x:v>0</x:v>
      </x:c>
      <x:c r="U45" s="330" t="n">
        <x:f>IF(N45&gt;Thresholds!$C$10,2,IF(N45&gt;Thresholds!$B$10,1,0))</x:f>
        <x:v>1</x:v>
      </x:c>
      <x:c r="V45" s="330" t="n">
        <x:f>IF(O45&gt;Thresholds!$C$11,2,IF(O45&gt;Thresholds!$B$11,1,0))</x:f>
        <x:v>0</x:v>
      </x:c>
      <x:c r="W45" s="330" t="n">
        <x:f>SUM(P45:V45)</x:f>
        <x:v>5</x:v>
      </x:c>
      <x:c r="X45" s="330" t="str">
        <x:f>IF(W45&gt;=Thresholds!$C$14,"Red",IF(W45&gt;=Thresholds!$B$14,"Yellow","Green"))</x:f>
        <x:v>Yellow</x:v>
      </x:c>
    </x:row>
    <x:row r="46">
      <x:c r="A46" s="330" t="str">
        <x:v>PRJ-049</x:v>
      </x:c>
      <x:c r="B46" s="330" t="str">
        <x:v>Northstar Apartments</x:v>
      </x:c>
      <x:c r="C46" s="330" t="str">
        <x:v>Residential</x:v>
      </x:c>
      <x:c r="D46" s="330" t="str">
        <x:v>Design-Build</x:v>
      </x:c>
      <x:c r="E46" s="336" t="n">
        <x:v>35381000</x:v>
      </x:c>
      <x:c r="F46" s="330" t="n">
        <x:v>35</x:v>
      </x:c>
      <x:c r="G46" s="499" t="n">
        <x:v>13.620689655172415</x:v>
      </x:c>
      <x:c r="H46" s="338" t="n">
        <x:v>0.2759</x:v>
      </x:c>
      <x:c r="I46" s="338" t="n">
        <x:v>0.1714</x:v>
      </x:c>
      <x:c r="J46" s="338" t="n">
        <x:v>0</x:v>
      </x:c>
      <x:c r="K46" s="499" t="n">
        <x:v>34</x:v>
      </x:c>
      <x:c r="L46" s="336" t="n">
        <x:v>63000</x:v>
      </x:c>
      <x:c r="M46" s="334" t="n">
        <x:v>0.00178</x:v>
      </x:c>
      <x:c r="N46" s="499" t="n">
        <x:v>6.333333333333333</x:v>
      </x:c>
      <x:c r="O46" s="338" t="n">
        <x:v>0.1429</x:v>
      </x:c>
      <x:c r="P46" s="330" t="n">
        <x:f>IF(G46&gt;Thresholds!$C$5,2,IF(G46&gt;Thresholds!$B$5,1,0))</x:f>
        <x:v>1</x:v>
      </x:c>
      <x:c r="Q46" s="330" t="n">
        <x:f>IF(I46&gt;Thresholds!$C$6,2,IF(I46&gt;Thresholds!$B$6,1,0))</x:f>
        <x:v>1</x:v>
      </x:c>
      <x:c r="R46" s="330" t="n">
        <x:f>IF(J46&gt;Thresholds!$C$7,2,IF(J46&gt;Thresholds!$B$7,1,0))</x:f>
        <x:v>0</x:v>
      </x:c>
      <x:c r="S46" s="330" t="n">
        <x:f>IF(K46&gt;Thresholds!$C$8,2,IF(K46&gt;Thresholds!$B$8,1,0))</x:f>
        <x:v>1</x:v>
      </x:c>
      <x:c r="T46" s="330" t="n">
        <x:f>IF(M46&gt;Thresholds!$C$9,2,IF(M46&gt;Thresholds!$B$9,1,0))</x:f>
        <x:v>0</x:v>
      </x:c>
      <x:c r="U46" s="330" t="n">
        <x:f>IF(N46&gt;Thresholds!$C$10,2,IF(N46&gt;Thresholds!$B$10,1,0))</x:f>
        <x:v>1</x:v>
      </x:c>
      <x:c r="V46" s="330" t="n">
        <x:f>IF(O46&gt;Thresholds!$C$11,2,IF(O46&gt;Thresholds!$B$11,1,0))</x:f>
        <x:v>1</x:v>
      </x:c>
      <x:c r="W46" s="330" t="n">
        <x:f>SUM(P46:V46)</x:f>
        <x:v>5</x:v>
      </x:c>
      <x:c r="X46" s="330" t="str">
        <x:f>IF(W46&gt;=Thresholds!$C$14,"Red",IF(W46&gt;=Thresholds!$B$14,"Yellow","Green"))</x:f>
        <x:v>Yellow</x:v>
      </x:c>
    </x:row>
    <x:row r="47">
      <x:c r="A47" s="330" t="str">
        <x:v>PRJ-054</x:v>
      </x:c>
      <x:c r="B47" s="330" t="str">
        <x:v>Summit Processing Plant</x:v>
      </x:c>
      <x:c r="C47" s="330" t="str">
        <x:v>Industrial</x:v>
      </x:c>
      <x:c r="D47" s="330" t="str">
        <x:v>CMAR</x:v>
      </x:c>
      <x:c r="E47" s="336" t="n">
        <x:v>103115000</x:v>
      </x:c>
      <x:c r="F47" s="330" t="n">
        <x:v>41</x:v>
      </x:c>
      <x:c r="G47" s="499" t="n">
        <x:v>15.27027027027027</x:v>
      </x:c>
      <x:c r="H47" s="338" t="n">
        <x:v>0.1892</x:v>
      </x:c>
      <x:c r="I47" s="338" t="n">
        <x:v>0.09759999999999999</x:v>
      </x:c>
      <x:c r="J47" s="338" t="n">
        <x:v>0</x:v>
      </x:c>
      <x:c r="K47" s="499" t="n">
        <x:v>39.2</x:v>
      </x:c>
      <x:c r="L47" s="336" t="n">
        <x:v>147000</x:v>
      </x:c>
      <x:c r="M47" s="334" t="n">
        <x:v>0.0014299999999999998</x:v>
      </x:c>
      <x:c r="N47" s="499" t="n">
        <x:v>5.6</x:v>
      </x:c>
      <x:c r="O47" s="338" t="n">
        <x:v>0</x:v>
      </x:c>
      <x:c r="P47" s="330" t="n">
        <x:f>IF(G47&gt;Thresholds!$C$5,2,IF(G47&gt;Thresholds!$B$5,1,0))</x:f>
        <x:v>2</x:v>
      </x:c>
      <x:c r="Q47" s="330" t="n">
        <x:f>IF(I47&gt;Thresholds!$C$6,2,IF(I47&gt;Thresholds!$B$6,1,0))</x:f>
        <x:v>0</x:v>
      </x:c>
      <x:c r="R47" s="330" t="n">
        <x:f>IF(J47&gt;Thresholds!$C$7,2,IF(J47&gt;Thresholds!$B$7,1,0))</x:f>
        <x:v>0</x:v>
      </x:c>
      <x:c r="S47" s="330" t="n">
        <x:f>IF(K47&gt;Thresholds!$C$8,2,IF(K47&gt;Thresholds!$B$8,1,0))</x:f>
        <x:v>2</x:v>
      </x:c>
      <x:c r="T47" s="330" t="n">
        <x:f>IF(M47&gt;Thresholds!$C$9,2,IF(M47&gt;Thresholds!$B$9,1,0))</x:f>
        <x:v>0</x:v>
      </x:c>
      <x:c r="U47" s="330" t="n">
        <x:f>IF(N47&gt;Thresholds!$C$10,2,IF(N47&gt;Thresholds!$B$10,1,0))</x:f>
        <x:v>1</x:v>
      </x:c>
      <x:c r="V47" s="330" t="n">
        <x:f>IF(O47&gt;Thresholds!$C$11,2,IF(O47&gt;Thresholds!$B$11,1,0))</x:f>
        <x:v>0</x:v>
      </x:c>
      <x:c r="W47" s="330" t="n">
        <x:f>SUM(P47:V47)</x:f>
        <x:v>5</x:v>
      </x:c>
      <x:c r="X47" s="330" t="str">
        <x:f>IF(W47&gt;=Thresholds!$C$14,"Red",IF(W47&gt;=Thresholds!$B$14,"Yellow","Green"))</x:f>
        <x:v>Yellow</x:v>
      </x:c>
    </x:row>
    <x:row r="48">
      <x:c r="A48" s="330" t="str">
        <x:v>PRJ-030</x:v>
      </x:c>
      <x:c r="B48" s="330" t="str">
        <x:v>Sunset Corporate Center</x:v>
      </x:c>
      <x:c r="C48" s="330" t="str">
        <x:v>Commercial</x:v>
      </x:c>
      <x:c r="D48" s="330" t="str">
        <x:v>Design-Build</x:v>
      </x:c>
      <x:c r="E48" s="336" t="n">
        <x:v>28294000</x:v>
      </x:c>
      <x:c r="F48" s="330" t="n">
        <x:v>35</x:v>
      </x:c>
      <x:c r="G48" s="499" t="n">
        <x:v>10.9</x:v>
      </x:c>
      <x:c r="H48" s="338" t="n">
        <x:v>0.4667</x:v>
      </x:c>
      <x:c r="I48" s="338" t="n">
        <x:v>0.1429</x:v>
      </x:c>
      <x:c r="J48" s="338" t="n">
        <x:v>0.0286</x:v>
      </x:c>
      <x:c r="K48" s="499" t="n">
        <x:v>23.142857142857142</x:v>
      </x:c>
      <x:c r="L48" s="336" t="n">
        <x:v>9800</x:v>
      </x:c>
      <x:c r="M48" s="334" t="n">
        <x:v>0.00035000000000000005</x:v>
      </x:c>
      <x:c r="N48" s="499" t="n">
        <x:v>2.2</x:v>
      </x:c>
      <x:c r="O48" s="338" t="n">
        <x:v>0.2857</x:v>
      </x:c>
      <x:c r="P48" s="330" t="n">
        <x:f>IF(G48&gt;Thresholds!$C$5,2,IF(G48&gt;Thresholds!$B$5,1,0))</x:f>
        <x:v>1</x:v>
      </x:c>
      <x:c r="Q48" s="330" t="n">
        <x:f>IF(I48&gt;Thresholds!$C$6,2,IF(I48&gt;Thresholds!$B$6,1,0))</x:f>
        <x:v>0</x:v>
      </x:c>
      <x:c r="R48" s="330" t="n">
        <x:f>IF(J48&gt;Thresholds!$C$7,2,IF(J48&gt;Thresholds!$B$7,1,0))</x:f>
        <x:v>1</x:v>
      </x:c>
      <x:c r="S48" s="330" t="n">
        <x:f>IF(K48&gt;Thresholds!$C$8,2,IF(K48&gt;Thresholds!$B$8,1,0))</x:f>
        <x:v>1</x:v>
      </x:c>
      <x:c r="T48" s="330" t="n">
        <x:f>IF(M48&gt;Thresholds!$C$9,2,IF(M48&gt;Thresholds!$B$9,1,0))</x:f>
        <x:v>0</x:v>
      </x:c>
      <x:c r="U48" s="330" t="n">
        <x:f>IF(N48&gt;Thresholds!$C$10,2,IF(N48&gt;Thresholds!$B$10,1,0))</x:f>
        <x:v>0</x:v>
      </x:c>
      <x:c r="V48" s="330" t="n">
        <x:f>IF(O48&gt;Thresholds!$C$11,2,IF(O48&gt;Thresholds!$B$11,1,0))</x:f>
        <x:v>2</x:v>
      </x:c>
      <x:c r="W48" s="330" t="n">
        <x:f>SUM(P48:V48)</x:f>
        <x:v>5</x:v>
      </x:c>
      <x:c r="X48" s="330" t="str">
        <x:f>IF(W48&gt;=Thresholds!$C$14,"Red",IF(W48&gt;=Thresholds!$B$14,"Yellow","Green"))</x:f>
        <x:v>Yellow</x:v>
      </x:c>
    </x:row>
    <x:row r="49">
      <x:c r="A49" s="330" t="str">
        <x:v>PRJ-003</x:v>
      </x:c>
      <x:c r="B49" s="330" t="str">
        <x:v>Aspen Civic Complex</x:v>
      </x:c>
      <x:c r="C49" s="330" t="str">
        <x:v>Institutional</x:v>
      </x:c>
      <x:c r="D49" s="330" t="str">
        <x:v>Design-Build</x:v>
      </x:c>
      <x:c r="E49" s="336" t="n">
        <x:v>45069000</x:v>
      </x:c>
      <x:c r="F49" s="330" t="n">
        <x:v>28</x:v>
      </x:c>
      <x:c r="G49" s="499" t="n">
        <x:v>10.130434782608695</x:v>
      </x:c>
      <x:c r="H49" s="338" t="n">
        <x:v>0.5652</x:v>
      </x:c>
      <x:c r="I49" s="338" t="n">
        <x:v>0.17859999999999998</x:v>
      </x:c>
      <x:c r="J49" s="338" t="n">
        <x:v>0.035699999999999996</x:v>
      </x:c>
      <x:c r="K49" s="499" t="n">
        <x:v>22.22222222222222</x:v>
      </x:c>
      <x:c r="L49" s="336" t="n">
        <x:v>0</x:v>
      </x:c>
      <x:c r="M49" s="334" t="n">
        <x:v>0</x:v>
      </x:c>
      <x:c r="N49" s="499" t="n">
        <x:v>6.333333333333333</x:v>
      </x:c>
      <x:c r="O49" s="338" t="n">
        <x:v>0</x:v>
      </x:c>
      <x:c r="P49" s="330" t="n">
        <x:f>IF(G49&gt;Thresholds!$C$5,2,IF(G49&gt;Thresholds!$B$5,1,0))</x:f>
        <x:v>1</x:v>
      </x:c>
      <x:c r="Q49" s="330" t="n">
        <x:f>IF(I49&gt;Thresholds!$C$6,2,IF(I49&gt;Thresholds!$B$6,1,0))</x:f>
        <x:v>1</x:v>
      </x:c>
      <x:c r="R49" s="330" t="n">
        <x:f>IF(J49&gt;Thresholds!$C$7,2,IF(J49&gt;Thresholds!$B$7,1,0))</x:f>
        <x:v>1</x:v>
      </x:c>
      <x:c r="S49" s="330" t="n">
        <x:f>IF(K49&gt;Thresholds!$C$8,2,IF(K49&gt;Thresholds!$B$8,1,0))</x:f>
        <x:v>1</x:v>
      </x:c>
      <x:c r="T49" s="330" t="n">
        <x:f>IF(M49&gt;Thresholds!$C$9,2,IF(M49&gt;Thresholds!$B$9,1,0))</x:f>
        <x:v>0</x:v>
      </x:c>
      <x:c r="U49" s="330" t="n">
        <x:f>IF(N49&gt;Thresholds!$C$10,2,IF(N49&gt;Thresholds!$B$10,1,0))</x:f>
        <x:v>1</x:v>
      </x:c>
      <x:c r="V49" s="330" t="n">
        <x:f>IF(O49&gt;Thresholds!$C$11,2,IF(O49&gt;Thresholds!$B$11,1,0))</x:f>
        <x:v>0</x:v>
      </x:c>
      <x:c r="W49" s="330" t="n">
        <x:f>SUM(P49:V49)</x:f>
        <x:v>5</x:v>
      </x:c>
      <x:c r="X49" s="330" t="str">
        <x:f>IF(W49&gt;=Thresholds!$C$14,"Red",IF(W49&gt;=Thresholds!$B$14,"Yellow","Green"))</x:f>
        <x:v>Yellow</x:v>
      </x:c>
    </x:row>
    <x:row r="50">
      <x:c r="A50" s="330" t="str">
        <x:v>PRJ-083</x:v>
      </x:c>
      <x:c r="B50" s="330" t="str">
        <x:v>Sunset Corporate Center 2</x:v>
      </x:c>
      <x:c r="C50" s="330" t="str">
        <x:v>Commercial</x:v>
      </x:c>
      <x:c r="D50" s="330" t="str">
        <x:v>Design-Bid-Build</x:v>
      </x:c>
      <x:c r="E50" s="336" t="n">
        <x:v>17645000</x:v>
      </x:c>
      <x:c r="F50" s="330" t="n">
        <x:v>28</x:v>
      </x:c>
      <x:c r="G50" s="499" t="n">
        <x:v>8.423076923076923</x:v>
      </x:c>
      <x:c r="H50" s="338" t="n">
        <x:v>0.7308</x:v>
      </x:c>
      <x:c r="I50" s="338" t="n">
        <x:v>0.07139999999999999</x:v>
      </x:c>
      <x:c r="J50" s="338" t="n">
        <x:v>0.035699999999999996</x:v>
      </x:c>
      <x:c r="K50" s="499" t="n">
        <x:v>32.5</x:v>
      </x:c>
      <x:c r="L50" s="336" t="n">
        <x:v>0</x:v>
      </x:c>
      <x:c r="M50" s="334" t="n">
        <x:v>0</x:v>
      </x:c>
      <x:c r="N50" s="499" t="n">
        <x:v>5.2</x:v>
      </x:c>
      <x:c r="O50" s="338" t="n">
        <x:v>0.16670000000000001</x:v>
      </x:c>
      <x:c r="P50" s="330" t="n">
        <x:f>IF(G50&gt;Thresholds!$C$5,2,IF(G50&gt;Thresholds!$B$5,1,0))</x:f>
        <x:v>0</x:v>
      </x:c>
      <x:c r="Q50" s="330" t="n">
        <x:f>IF(I50&gt;Thresholds!$C$6,2,IF(I50&gt;Thresholds!$B$6,1,0))</x:f>
        <x:v>0</x:v>
      </x:c>
      <x:c r="R50" s="330" t="n">
        <x:f>IF(J50&gt;Thresholds!$C$7,2,IF(J50&gt;Thresholds!$B$7,1,0))</x:f>
        <x:v>1</x:v>
      </x:c>
      <x:c r="S50" s="330" t="n">
        <x:f>IF(K50&gt;Thresholds!$C$8,2,IF(K50&gt;Thresholds!$B$8,1,0))</x:f>
        <x:v>1</x:v>
      </x:c>
      <x:c r="T50" s="330" t="n">
        <x:f>IF(M50&gt;Thresholds!$C$9,2,IF(M50&gt;Thresholds!$B$9,1,0))</x:f>
        <x:v>0</x:v>
      </x:c>
      <x:c r="U50" s="330" t="n">
        <x:f>IF(N50&gt;Thresholds!$C$10,2,IF(N50&gt;Thresholds!$B$10,1,0))</x:f>
        <x:v>1</x:v>
      </x:c>
      <x:c r="V50" s="330" t="n">
        <x:f>IF(O50&gt;Thresholds!$C$11,2,IF(O50&gt;Thresholds!$B$11,1,0))</x:f>
        <x:v>2</x:v>
      </x:c>
      <x:c r="W50" s="330" t="n">
        <x:f>SUM(P50:V50)</x:f>
        <x:v>5</x:v>
      </x:c>
      <x:c r="X50" s="330" t="str">
        <x:f>IF(W50&gt;=Thresholds!$C$14,"Red",IF(W50&gt;=Thresholds!$B$14,"Yellow","Green"))</x:f>
        <x:v>Yellow</x:v>
      </x:c>
    </x:row>
    <x:row r="51">
      <x:c r="A51" s="330" t="str">
        <x:v>PRJ-009</x:v>
      </x:c>
      <x:c r="B51" s="330" t="str">
        <x:v>Granite Office Campus</x:v>
      </x:c>
      <x:c r="C51" s="330" t="str">
        <x:v>Commercial</x:v>
      </x:c>
      <x:c r="D51" s="330" t="str">
        <x:v>Design-Build</x:v>
      </x:c>
      <x:c r="E51" s="336" t="n">
        <x:v>15695000</x:v>
      </x:c>
      <x:c r="F51" s="330" t="n">
        <x:v>18</x:v>
      </x:c>
      <x:c r="G51" s="499" t="n">
        <x:v>9.235294117647058</x:v>
      </x:c>
      <x:c r="H51" s="338" t="n">
        <x:v>0.5294</x:v>
      </x:c>
      <x:c r="I51" s="338" t="n">
        <x:v>0.0556</x:v>
      </x:c>
      <x:c r="J51" s="338" t="n">
        <x:v>0.0556</x:v>
      </x:c>
      <x:c r="K51" s="499" t="n">
        <x:v>32.6</x:v>
      </x:c>
      <x:c r="L51" s="336" t="n">
        <x:v>0</x:v>
      </x:c>
      <x:c r="M51" s="334" t="n">
        <x:v>0</x:v>
      </x:c>
      <x:c r="N51" s="499" t="n">
        <x:v>4.5</x:v>
      </x:c>
      <x:c r="O51" s="338" t="n">
        <x:v>0.2</x:v>
      </x:c>
      <x:c r="P51" s="330" t="n">
        <x:f>IF(G51&gt;Thresholds!$C$5,2,IF(G51&gt;Thresholds!$B$5,1,0))</x:f>
        <x:v>0</x:v>
      </x:c>
      <x:c r="Q51" s="330" t="n">
        <x:f>IF(I51&gt;Thresholds!$C$6,2,IF(I51&gt;Thresholds!$B$6,1,0))</x:f>
        <x:v>0</x:v>
      </x:c>
      <x:c r="R51" s="330" t="n">
        <x:f>IF(J51&gt;Thresholds!$C$7,2,IF(J51&gt;Thresholds!$B$7,1,0))</x:f>
        <x:v>2</x:v>
      </x:c>
      <x:c r="S51" s="330" t="n">
        <x:f>IF(K51&gt;Thresholds!$C$8,2,IF(K51&gt;Thresholds!$B$8,1,0))</x:f>
        <x:v>1</x:v>
      </x:c>
      <x:c r="T51" s="330" t="n">
        <x:f>IF(M51&gt;Thresholds!$C$9,2,IF(M51&gt;Thresholds!$B$9,1,0))</x:f>
        <x:v>0</x:v>
      </x:c>
      <x:c r="U51" s="330" t="n">
        <x:f>IF(N51&gt;Thresholds!$C$10,2,IF(N51&gt;Thresholds!$B$10,1,0))</x:f>
        <x:v>0</x:v>
      </x:c>
      <x:c r="V51" s="330" t="n">
        <x:f>IF(O51&gt;Thresholds!$C$11,2,IF(O51&gt;Thresholds!$B$11,1,0))</x:f>
        <x:v>2</x:v>
      </x:c>
      <x:c r="W51" s="330" t="n">
        <x:f>SUM(P51:V51)</x:f>
        <x:v>5</x:v>
      </x:c>
      <x:c r="X51" s="330" t="str">
        <x:f>IF(W51&gt;=Thresholds!$C$14,"Red",IF(W51&gt;=Thresholds!$B$14,"Yellow","Green"))</x:f>
        <x:v>Yellow</x:v>
      </x:c>
    </x:row>
    <x:row r="52">
      <x:c r="A52" s="330" t="str">
        <x:v>PRJ-045</x:v>
      </x:c>
      <x:c r="B52" s="330" t="str">
        <x:v>Pioneer Community College 2</x:v>
      </x:c>
      <x:c r="C52" s="330" t="str">
        <x:v>Institutional</x:v>
      </x:c>
      <x:c r="D52" s="330" t="str">
        <x:v>Design-Build</x:v>
      </x:c>
      <x:c r="E52" s="336" t="n">
        <x:v>141695000</x:v>
      </x:c>
      <x:c r="F52" s="330" t="n">
        <x:v>44</x:v>
      </x:c>
      <x:c r="G52" s="499" t="n">
        <x:v>9.425</x:v>
      </x:c>
      <x:c r="H52" s="338" t="n">
        <x:v>0.675</x:v>
      </x:c>
      <x:c r="I52" s="338" t="n">
        <x:v>0.0682</x:v>
      </x:c>
      <x:c r="J52" s="338" t="n">
        <x:v>0</x:v>
      </x:c>
      <x:c r="K52" s="499" t="n">
        <x:v>26.2</x:v>
      </x:c>
      <x:c r="L52" s="336" t="n">
        <x:v>4488000</x:v>
      </x:c>
      <x:c r="M52" s="334" t="n">
        <x:v>0.03167</x:v>
      </x:c>
      <x:c r="N52" s="499" t="n">
        <x:v>7.5</x:v>
      </x:c>
      <x:c r="O52" s="338" t="n">
        <x:v>0</x:v>
      </x:c>
      <x:c r="P52" s="330" t="n">
        <x:f>IF(G52&gt;Thresholds!$C$5,2,IF(G52&gt;Thresholds!$B$5,1,0))</x:f>
        <x:v>0</x:v>
      </x:c>
      <x:c r="Q52" s="330" t="n">
        <x:f>IF(I52&gt;Thresholds!$C$6,2,IF(I52&gt;Thresholds!$B$6,1,0))</x:f>
        <x:v>0</x:v>
      </x:c>
      <x:c r="R52" s="330" t="n">
        <x:f>IF(J52&gt;Thresholds!$C$7,2,IF(J52&gt;Thresholds!$B$7,1,0))</x:f>
        <x:v>0</x:v>
      </x:c>
      <x:c r="S52" s="330" t="n">
        <x:f>IF(K52&gt;Thresholds!$C$8,2,IF(K52&gt;Thresholds!$B$8,1,0))</x:f>
        <x:v>1</x:v>
      </x:c>
      <x:c r="T52" s="330" t="n">
        <x:f>IF(M52&gt;Thresholds!$C$9,2,IF(M52&gt;Thresholds!$B$9,1,0))</x:f>
        <x:v>2</x:v>
      </x:c>
      <x:c r="U52" s="330" t="n">
        <x:f>IF(N52&gt;Thresholds!$C$10,2,IF(N52&gt;Thresholds!$B$10,1,0))</x:f>
        <x:v>1</x:v>
      </x:c>
      <x:c r="V52" s="330" t="n">
        <x:f>IF(O52&gt;Thresholds!$C$11,2,IF(O52&gt;Thresholds!$B$11,1,0))</x:f>
        <x:v>0</x:v>
      </x:c>
      <x:c r="W52" s="330" t="n">
        <x:f>SUM(P52:V52)</x:f>
        <x:v>4</x:v>
      </x:c>
      <x:c r="X52" s="330" t="str">
        <x:f>IF(W52&gt;=Thresholds!$C$14,"Red",IF(W52&gt;=Thresholds!$B$14,"Yellow","Green"))</x:f>
        <x:v>Yellow</x:v>
      </x:c>
    </x:row>
    <x:row r="53">
      <x:c r="A53" s="330" t="str">
        <x:v>PRJ-076</x:v>
      </x:c>
      <x:c r="B53" s="330" t="str">
        <x:v>Vista Marketplace</x:v>
      </x:c>
      <x:c r="C53" s="330" t="str">
        <x:v>Commercial</x:v>
      </x:c>
      <x:c r="D53" s="330" t="str">
        <x:v>IPD</x:v>
      </x:c>
      <x:c r="E53" s="336" t="n">
        <x:v>194781000</x:v>
      </x:c>
      <x:c r="F53" s="330" t="n">
        <x:v>43</x:v>
      </x:c>
      <x:c r="G53" s="499" t="n">
        <x:v>9.026315789473685</x:v>
      </x:c>
      <x:c r="H53" s="338" t="n">
        <x:v>0.6053000000000001</x:v>
      </x:c>
      <x:c r="I53" s="338" t="n">
        <x:v>0.11630000000000001</x:v>
      </x:c>
      <x:c r="J53" s="338" t="n">
        <x:v>0.0233</x:v>
      </x:c>
      <x:c r="K53" s="499" t="n">
        <x:v>25.166666666666668</x:v>
      </x:c>
      <x:c r="L53" s="336" t="n">
        <x:v>5108000</x:v>
      </x:c>
      <x:c r="M53" s="334" t="n">
        <x:v>0.02622</x:v>
      </x:c>
      <x:c r="N53" s="499" t="n">
        <x:v>4.333333333333333</x:v>
      </x:c>
      <x:c r="O53" s="338" t="n">
        <x:v>0</x:v>
      </x:c>
      <x:c r="P53" s="330" t="n">
        <x:f>IF(G53&gt;Thresholds!$C$5,2,IF(G53&gt;Thresholds!$B$5,1,0))</x:f>
        <x:v>0</x:v>
      </x:c>
      <x:c r="Q53" s="330" t="n">
        <x:f>IF(I53&gt;Thresholds!$C$6,2,IF(I53&gt;Thresholds!$B$6,1,0))</x:f>
        <x:v>0</x:v>
      </x:c>
      <x:c r="R53" s="330" t="n">
        <x:f>IF(J53&gt;Thresholds!$C$7,2,IF(J53&gt;Thresholds!$B$7,1,0))</x:f>
        <x:v>1</x:v>
      </x:c>
      <x:c r="S53" s="330" t="n">
        <x:f>IF(K53&gt;Thresholds!$C$8,2,IF(K53&gt;Thresholds!$B$8,1,0))</x:f>
        <x:v>1</x:v>
      </x:c>
      <x:c r="T53" s="330" t="n">
        <x:f>IF(M53&gt;Thresholds!$C$9,2,IF(M53&gt;Thresholds!$B$9,1,0))</x:f>
        <x:v>2</x:v>
      </x:c>
      <x:c r="U53" s="330" t="n">
        <x:f>IF(N53&gt;Thresholds!$C$10,2,IF(N53&gt;Thresholds!$B$10,1,0))</x:f>
        <x:v>0</x:v>
      </x:c>
      <x:c r="V53" s="330" t="n">
        <x:f>IF(O53&gt;Thresholds!$C$11,2,IF(O53&gt;Thresholds!$B$11,1,0))</x:f>
        <x:v>0</x:v>
      </x:c>
      <x:c r="W53" s="330" t="n">
        <x:f>SUM(P53:V53)</x:f>
        <x:v>4</x:v>
      </x:c>
      <x:c r="X53" s="330" t="str">
        <x:f>IF(W53&gt;=Thresholds!$C$14,"Red",IF(W53&gt;=Thresholds!$B$14,"Yellow","Green"))</x:f>
        <x:v>Yellow</x:v>
      </x:c>
    </x:row>
    <x:row r="54">
      <x:c r="A54" s="330" t="str">
        <x:v>PRJ-088</x:v>
      </x:c>
      <x:c r="B54" s="330" t="str">
        <x:v>Canyon Transit Center</x:v>
      </x:c>
      <x:c r="C54" s="330" t="str">
        <x:v>Heavy Civil &amp; Infrastructure</x:v>
      </x:c>
      <x:c r="D54" s="330" t="str">
        <x:v>CMAR</x:v>
      </x:c>
      <x:c r="E54" s="336" t="n">
        <x:v>228698000</x:v>
      </x:c>
      <x:c r="F54" s="330" t="n">
        <x:v>35</x:v>
      </x:c>
      <x:c r="G54" s="499" t="n">
        <x:v>9.114285714285714</x:v>
      </x:c>
      <x:c r="H54" s="338" t="n">
        <x:v>0.5714</x:v>
      </x:c>
      <x:c r="I54" s="338" t="n">
        <x:v>0</x:v>
      </x:c>
      <x:c r="J54" s="338" t="n">
        <x:v>0</x:v>
      </x:c>
      <x:c r="K54" s="499" t="n">
        <x:v>19.9</x:v>
      </x:c>
      <x:c r="L54" s="336" t="n">
        <x:v>5073000</x:v>
      </x:c>
      <x:c r="M54" s="334" t="n">
        <x:v>0.02218</x:v>
      </x:c>
      <x:c r="N54" s="499" t="n">
        <x:v>3.875</x:v>
      </x:c>
      <x:c r="O54" s="338" t="n">
        <x:v>0.2</x:v>
      </x:c>
      <x:c r="P54" s="330" t="n">
        <x:f>IF(G54&gt;Thresholds!$C$5,2,IF(G54&gt;Thresholds!$B$5,1,0))</x:f>
        <x:v>0</x:v>
      </x:c>
      <x:c r="Q54" s="330" t="n">
        <x:f>IF(I54&gt;Thresholds!$C$6,2,IF(I54&gt;Thresholds!$B$6,1,0))</x:f>
        <x:v>0</x:v>
      </x:c>
      <x:c r="R54" s="330" t="n">
        <x:f>IF(J54&gt;Thresholds!$C$7,2,IF(J54&gt;Thresholds!$B$7,1,0))</x:f>
        <x:v>0</x:v>
      </x:c>
      <x:c r="S54" s="330" t="n">
        <x:f>IF(K54&gt;Thresholds!$C$8,2,IF(K54&gt;Thresholds!$B$8,1,0))</x:f>
        <x:v>0</x:v>
      </x:c>
      <x:c r="T54" s="330" t="n">
        <x:f>IF(M54&gt;Thresholds!$C$9,2,IF(M54&gt;Thresholds!$B$9,1,0))</x:f>
        <x:v>2</x:v>
      </x:c>
      <x:c r="U54" s="330" t="n">
        <x:f>IF(N54&gt;Thresholds!$C$10,2,IF(N54&gt;Thresholds!$B$10,1,0))</x:f>
        <x:v>0</x:v>
      </x:c>
      <x:c r="V54" s="330" t="n">
        <x:f>IF(O54&gt;Thresholds!$C$11,2,IF(O54&gt;Thresholds!$B$11,1,0))</x:f>
        <x:v>2</x:v>
      </x:c>
      <x:c r="W54" s="330" t="n">
        <x:f>SUM(P54:V54)</x:f>
        <x:v>4</x:v>
      </x:c>
      <x:c r="X54" s="330" t="str">
        <x:f>IF(W54&gt;=Thresholds!$C$14,"Red",IF(W54&gt;=Thresholds!$B$14,"Yellow","Green"))</x:f>
        <x:v>Yellow</x:v>
      </x:c>
    </x:row>
    <x:row r="55">
      <x:c r="A55" s="330" t="str">
        <x:v>PRJ-046</x:v>
      </x:c>
      <x:c r="B55" s="330" t="str">
        <x:v>Riverbend Apartments</x:v>
      </x:c>
      <x:c r="C55" s="330" t="str">
        <x:v>Residential</x:v>
      </x:c>
      <x:c r="D55" s="330" t="str">
        <x:v>Design-Build</x:v>
      </x:c>
      <x:c r="E55" s="336" t="n">
        <x:v>31286000</x:v>
      </x:c>
      <x:c r="F55" s="330" t="n">
        <x:v>38</x:v>
      </x:c>
      <x:c r="G55" s="499" t="n">
        <x:v>12.055555555555555</x:v>
      </x:c>
      <x:c r="H55" s="338" t="n">
        <x:v>0.4167</x:v>
      </x:c>
      <x:c r="I55" s="338" t="n">
        <x:v>0.0526</x:v>
      </x:c>
      <x:c r="J55" s="338" t="n">
        <x:v>0</x:v>
      </x:c>
      <x:c r="K55" s="499" t="n">
        <x:v>33.833333333333336</x:v>
      </x:c>
      <x:c r="L55" s="336" t="n">
        <x:v>668000</x:v>
      </x:c>
      <x:c r="M55" s="334" t="n">
        <x:v>0.021349999999999997</x:v>
      </x:c>
      <x:c r="N55" s="499" t="n">
        <x:v>4.5</x:v>
      </x:c>
      <x:c r="O55" s="338" t="n">
        <x:v>0</x:v>
      </x:c>
      <x:c r="P55" s="330" t="n">
        <x:f>IF(G55&gt;Thresholds!$C$5,2,IF(G55&gt;Thresholds!$B$5,1,0))</x:f>
        <x:v>1</x:v>
      </x:c>
      <x:c r="Q55" s="330" t="n">
        <x:f>IF(I55&gt;Thresholds!$C$6,2,IF(I55&gt;Thresholds!$B$6,1,0))</x:f>
        <x:v>0</x:v>
      </x:c>
      <x:c r="R55" s="330" t="n">
        <x:f>IF(J55&gt;Thresholds!$C$7,2,IF(J55&gt;Thresholds!$B$7,1,0))</x:f>
        <x:v>0</x:v>
      </x:c>
      <x:c r="S55" s="330" t="n">
        <x:f>IF(K55&gt;Thresholds!$C$8,2,IF(K55&gt;Thresholds!$B$8,1,0))</x:f>
        <x:v>1</x:v>
      </x:c>
      <x:c r="T55" s="330" t="n">
        <x:f>IF(M55&gt;Thresholds!$C$9,2,IF(M55&gt;Thresholds!$B$9,1,0))</x:f>
        <x:v>2</x:v>
      </x:c>
      <x:c r="U55" s="330" t="n">
        <x:f>IF(N55&gt;Thresholds!$C$10,2,IF(N55&gt;Thresholds!$B$10,1,0))</x:f>
        <x:v>0</x:v>
      </x:c>
      <x:c r="V55" s="330" t="n">
        <x:f>IF(O55&gt;Thresholds!$C$11,2,IF(O55&gt;Thresholds!$B$11,1,0))</x:f>
        <x:v>0</x:v>
      </x:c>
      <x:c r="W55" s="330" t="n">
        <x:f>SUM(P55:V55)</x:f>
        <x:v>4</x:v>
      </x:c>
      <x:c r="X55" s="330" t="str">
        <x:f>IF(W55&gt;=Thresholds!$C$14,"Red",IF(W55&gt;=Thresholds!$B$14,"Yellow","Green"))</x:f>
        <x:v>Yellow</x:v>
      </x:c>
    </x:row>
    <x:row r="56">
      <x:c r="A56" s="330" t="str">
        <x:v>PRJ-033</x:v>
      </x:c>
      <x:c r="B56" s="330" t="str">
        <x:v>Pioneer Apartments</x:v>
      </x:c>
      <x:c r="C56" s="330" t="str">
        <x:v>Residential</x:v>
      </x:c>
      <x:c r="D56" s="330" t="str">
        <x:v>CMAR</x:v>
      </x:c>
      <x:c r="E56" s="336" t="n">
        <x:v>114252000</x:v>
      </x:c>
      <x:c r="F56" s="330" t="n">
        <x:v>33</x:v>
      </x:c>
      <x:c r="G56" s="499" t="n">
        <x:v>11.258064516129032</x:v>
      </x:c>
      <x:c r="H56" s="338" t="n">
        <x:v>0.5161</x:v>
      </x:c>
      <x:c r="I56" s="338" t="n">
        <x:v>0.060599999999999994</x:v>
      </x:c>
      <x:c r="J56" s="338" t="n">
        <x:v>0</x:v>
      </x:c>
      <x:c r="K56" s="499" t="n">
        <x:v>28.25</x:v>
      </x:c>
      <x:c r="L56" s="336" t="n">
        <x:v>1655000</x:v>
      </x:c>
      <x:c r="M56" s="334" t="n">
        <x:v>0.014490000000000001</x:v>
      </x:c>
      <x:c r="N56" s="499" t="n">
        <x:v>8.25</x:v>
      </x:c>
      <x:c r="O56" s="338" t="n">
        <x:v>0</x:v>
      </x:c>
      <x:c r="P56" s="330" t="n">
        <x:f>IF(G56&gt;Thresholds!$C$5,2,IF(G56&gt;Thresholds!$B$5,1,0))</x:f>
        <x:v>1</x:v>
      </x:c>
      <x:c r="Q56" s="330" t="n">
        <x:f>IF(I56&gt;Thresholds!$C$6,2,IF(I56&gt;Thresholds!$B$6,1,0))</x:f>
        <x:v>0</x:v>
      </x:c>
      <x:c r="R56" s="330" t="n">
        <x:f>IF(J56&gt;Thresholds!$C$7,2,IF(J56&gt;Thresholds!$B$7,1,0))</x:f>
        <x:v>0</x:v>
      </x:c>
      <x:c r="S56" s="330" t="n">
        <x:f>IF(K56&gt;Thresholds!$C$8,2,IF(K56&gt;Thresholds!$B$8,1,0))</x:f>
        <x:v>1</x:v>
      </x:c>
      <x:c r="T56" s="330" t="n">
        <x:f>IF(M56&gt;Thresholds!$C$9,2,IF(M56&gt;Thresholds!$B$9,1,0))</x:f>
        <x:v>1</x:v>
      </x:c>
      <x:c r="U56" s="330" t="n">
        <x:f>IF(N56&gt;Thresholds!$C$10,2,IF(N56&gt;Thresholds!$B$10,1,0))</x:f>
        <x:v>1</x:v>
      </x:c>
      <x:c r="V56" s="330" t="n">
        <x:f>IF(O56&gt;Thresholds!$C$11,2,IF(O56&gt;Thresholds!$B$11,1,0))</x:f>
        <x:v>0</x:v>
      </x:c>
      <x:c r="W56" s="330" t="n">
        <x:f>SUM(P56:V56)</x:f>
        <x:v>4</x:v>
      </x:c>
      <x:c r="X56" s="330" t="str">
        <x:f>IF(W56&gt;=Thresholds!$C$14,"Red",IF(W56&gt;=Thresholds!$B$14,"Yellow","Green"))</x:f>
        <x:v>Yellow</x:v>
      </x:c>
    </x:row>
    <x:row r="57">
      <x:c r="A57" s="330" t="str">
        <x:v>PRJ-048</x:v>
      </x:c>
      <x:c r="B57" s="330" t="str">
        <x:v>Vista Medical Pavilion</x:v>
      </x:c>
      <x:c r="C57" s="330" t="str">
        <x:v>Institutional</x:v>
      </x:c>
      <x:c r="D57" s="330" t="str">
        <x:v>Design-Bid-Build</x:v>
      </x:c>
      <x:c r="E57" s="336" t="n">
        <x:v>213634000</x:v>
      </x:c>
      <x:c r="F57" s="330" t="n">
        <x:v>51</x:v>
      </x:c>
      <x:c r="G57" s="499" t="n">
        <x:v>14.040816326530612</x:v>
      </x:c>
      <x:c r="H57" s="338" t="n">
        <x:v>0.38780000000000003</x:v>
      </x:c>
      <x:c r="I57" s="338" t="n">
        <x:v>0.0392</x:v>
      </x:c>
      <x:c r="J57" s="338" t="n">
        <x:v>0</x:v>
      </x:c>
      <x:c r="K57" s="499" t="n">
        <x:v>35.529411764705884</x:v>
      </x:c>
      <x:c r="L57" s="336" t="n">
        <x:v>2246000</x:v>
      </x:c>
      <x:c r="M57" s="334" t="n">
        <x:v>0.010509999999999999</x:v>
      </x:c>
      <x:c r="N57" s="499" t="n">
        <x:v>4.823529411764706</x:v>
      </x:c>
      <x:c r="O57" s="338" t="n">
        <x:v>0</x:v>
      </x:c>
      <x:c r="P57" s="330" t="n">
        <x:f>IF(G57&gt;Thresholds!$C$5,2,IF(G57&gt;Thresholds!$B$5,1,0))</x:f>
        <x:v>1</x:v>
      </x:c>
      <x:c r="Q57" s="330" t="n">
        <x:f>IF(I57&gt;Thresholds!$C$6,2,IF(I57&gt;Thresholds!$B$6,1,0))</x:f>
        <x:v>0</x:v>
      </x:c>
      <x:c r="R57" s="330" t="n">
        <x:f>IF(J57&gt;Thresholds!$C$7,2,IF(J57&gt;Thresholds!$B$7,1,0))</x:f>
        <x:v>0</x:v>
      </x:c>
      <x:c r="S57" s="330" t="n">
        <x:f>IF(K57&gt;Thresholds!$C$8,2,IF(K57&gt;Thresholds!$B$8,1,0))</x:f>
        <x:v>2</x:v>
      </x:c>
      <x:c r="T57" s="330" t="n">
        <x:f>IF(M57&gt;Thresholds!$C$9,2,IF(M57&gt;Thresholds!$B$9,1,0))</x:f>
        <x:v>1</x:v>
      </x:c>
      <x:c r="U57" s="330" t="n">
        <x:f>IF(N57&gt;Thresholds!$C$10,2,IF(N57&gt;Thresholds!$B$10,1,0))</x:f>
        <x:v>0</x:v>
      </x:c>
      <x:c r="V57" s="330" t="n">
        <x:f>IF(O57&gt;Thresholds!$C$11,2,IF(O57&gt;Thresholds!$B$11,1,0))</x:f>
        <x:v>0</x:v>
      </x:c>
      <x:c r="W57" s="330" t="n">
        <x:f>SUM(P57:V57)</x:f>
        <x:v>4</x:v>
      </x:c>
      <x:c r="X57" s="330" t="str">
        <x:f>IF(W57&gt;=Thresholds!$C$14,"Red",IF(W57&gt;=Thresholds!$B$14,"Yellow","Green"))</x:f>
        <x:v>Yellow</x:v>
      </x:c>
    </x:row>
    <x:row r="58">
      <x:c r="A58" s="330" t="str">
        <x:v>PRJ-035</x:v>
      </x:c>
      <x:c r="B58" s="330" t="str">
        <x:v>Canyon Apartments</x:v>
      </x:c>
      <x:c r="C58" s="330" t="str">
        <x:v>Residential</x:v>
      </x:c>
      <x:c r="D58" s="330" t="str">
        <x:v>Design-Bid-Build</x:v>
      </x:c>
      <x:c r="E58" s="336" t="n">
        <x:v>41279000</x:v>
      </x:c>
      <x:c r="F58" s="330" t="n">
        <x:v>48</x:v>
      </x:c>
      <x:c r="G58" s="499" t="n">
        <x:v>12.622222222222222</x:v>
      </x:c>
      <x:c r="H58" s="338" t="n">
        <x:v>0.3556</x:v>
      </x:c>
      <x:c r="I58" s="338" t="n">
        <x:v>0.0625</x:v>
      </x:c>
      <x:c r="J58" s="338" t="n">
        <x:v>0</x:v>
      </x:c>
      <x:c r="K58" s="499" t="n">
        <x:v>47.42857142857143</x:v>
      </x:c>
      <x:c r="L58" s="336" t="n">
        <x:v>363000</x:v>
      </x:c>
      <x:c r="M58" s="334" t="n">
        <x:v>0.00879</x:v>
      </x:c>
      <x:c r="N58" s="499" t="n">
        <x:v>2.857142857142857</x:v>
      </x:c>
      <x:c r="O58" s="338" t="n">
        <x:v>0</x:v>
      </x:c>
      <x:c r="P58" s="330" t="n">
        <x:f>IF(G58&gt;Thresholds!$C$5,2,IF(G58&gt;Thresholds!$B$5,1,0))</x:f>
        <x:v>1</x:v>
      </x:c>
      <x:c r="Q58" s="330" t="n">
        <x:f>IF(I58&gt;Thresholds!$C$6,2,IF(I58&gt;Thresholds!$B$6,1,0))</x:f>
        <x:v>0</x:v>
      </x:c>
      <x:c r="R58" s="330" t="n">
        <x:f>IF(J58&gt;Thresholds!$C$7,2,IF(J58&gt;Thresholds!$B$7,1,0))</x:f>
        <x:v>0</x:v>
      </x:c>
      <x:c r="S58" s="330" t="n">
        <x:f>IF(K58&gt;Thresholds!$C$8,2,IF(K58&gt;Thresholds!$B$8,1,0))</x:f>
        <x:v>2</x:v>
      </x:c>
      <x:c r="T58" s="330" t="n">
        <x:f>IF(M58&gt;Thresholds!$C$9,2,IF(M58&gt;Thresholds!$B$9,1,0))</x:f>
        <x:v>1</x:v>
      </x:c>
      <x:c r="U58" s="330" t="n">
        <x:f>IF(N58&gt;Thresholds!$C$10,2,IF(N58&gt;Thresholds!$B$10,1,0))</x:f>
        <x:v>0</x:v>
      </x:c>
      <x:c r="V58" s="330" t="n">
        <x:f>IF(O58&gt;Thresholds!$C$11,2,IF(O58&gt;Thresholds!$B$11,1,0))</x:f>
        <x:v>0</x:v>
      </x:c>
      <x:c r="W58" s="330" t="n">
        <x:f>SUM(P58:V58)</x:f>
        <x:v>4</x:v>
      </x:c>
      <x:c r="X58" s="330" t="str">
        <x:f>IF(W58&gt;=Thresholds!$C$14,"Red",IF(W58&gt;=Thresholds!$B$14,"Yellow","Green"))</x:f>
        <x:v>Yellow</x:v>
      </x:c>
    </x:row>
    <x:row r="59">
      <x:c r="A59" s="330" t="str">
        <x:v>PRJ-053</x:v>
      </x:c>
      <x:c r="B59" s="330" t="str">
        <x:v>Copper Ridge Office Campus</x:v>
      </x:c>
      <x:c r="C59" s="330" t="str">
        <x:v>Commercial</x:v>
      </x:c>
      <x:c r="D59" s="330" t="str">
        <x:v>Design-Bid-Build</x:v>
      </x:c>
      <x:c r="E59" s="336" t="n">
        <x:v>35443000</x:v>
      </x:c>
      <x:c r="F59" s="330" t="n">
        <x:v>32</x:v>
      </x:c>
      <x:c r="G59" s="499" t="n">
        <x:v>8.6</x:v>
      </x:c>
      <x:c r="H59" s="338" t="n">
        <x:v>0.6667000000000001</x:v>
      </x:c>
      <x:c r="I59" s="338" t="n">
        <x:v>0.0625</x:v>
      </x:c>
      <x:c r="J59" s="338" t="n">
        <x:v>0</x:v>
      </x:c>
      <x:c r="K59" s="499" t="n">
        <x:v>22.272727272727273</x:v>
      </x:c>
      <x:c r="L59" s="336" t="n">
        <x:v>263000</x:v>
      </x:c>
      <x:c r="M59" s="334" t="n">
        <x:v>0.0074199999999999995</x:v>
      </x:c>
      <x:c r="N59" s="499" t="n">
        <x:v>4.444444444444445</x:v>
      </x:c>
      <x:c r="O59" s="338" t="n">
        <x:v>0.1818</x:v>
      </x:c>
      <x:c r="P59" s="330" t="n">
        <x:f>IF(G59&gt;Thresholds!$C$5,2,IF(G59&gt;Thresholds!$B$5,1,0))</x:f>
        <x:v>0</x:v>
      </x:c>
      <x:c r="Q59" s="330" t="n">
        <x:f>IF(I59&gt;Thresholds!$C$6,2,IF(I59&gt;Thresholds!$B$6,1,0))</x:f>
        <x:v>0</x:v>
      </x:c>
      <x:c r="R59" s="330" t="n">
        <x:f>IF(J59&gt;Thresholds!$C$7,2,IF(J59&gt;Thresholds!$B$7,1,0))</x:f>
        <x:v>0</x:v>
      </x:c>
      <x:c r="S59" s="330" t="n">
        <x:f>IF(K59&gt;Thresholds!$C$8,2,IF(K59&gt;Thresholds!$B$8,1,0))</x:f>
        <x:v>1</x:v>
      </x:c>
      <x:c r="T59" s="330" t="n">
        <x:f>IF(M59&gt;Thresholds!$C$9,2,IF(M59&gt;Thresholds!$B$9,1,0))</x:f>
        <x:v>1</x:v>
      </x:c>
      <x:c r="U59" s="330" t="n">
        <x:f>IF(N59&gt;Thresholds!$C$10,2,IF(N59&gt;Thresholds!$B$10,1,0))</x:f>
        <x:v>0</x:v>
      </x:c>
      <x:c r="V59" s="330" t="n">
        <x:f>IF(O59&gt;Thresholds!$C$11,2,IF(O59&gt;Thresholds!$B$11,1,0))</x:f>
        <x:v>2</x:v>
      </x:c>
      <x:c r="W59" s="330" t="n">
        <x:f>SUM(P59:V59)</x:f>
        <x:v>4</x:v>
      </x:c>
      <x:c r="X59" s="330" t="str">
        <x:f>IF(W59&gt;=Thresholds!$C$14,"Red",IF(W59&gt;=Thresholds!$B$14,"Yellow","Green"))</x:f>
        <x:v>Yellow</x:v>
      </x:c>
    </x:row>
    <x:row r="60">
      <x:c r="A60" s="330" t="str">
        <x:v>PRJ-031</x:v>
      </x:c>
      <x:c r="B60" s="330" t="str">
        <x:v>Mountain Gate Water Facility</x:v>
      </x:c>
      <x:c r="C60" s="330" t="str">
        <x:v>Heavy Civil &amp; Infrastructure</x:v>
      </x:c>
      <x:c r="D60" s="330" t="str">
        <x:v>IPD</x:v>
      </x:c>
      <x:c r="E60" s="336" t="n">
        <x:v>51859000</x:v>
      </x:c>
      <x:c r="F60" s="330" t="n">
        <x:v>37</x:v>
      </x:c>
      <x:c r="G60" s="499" t="n">
        <x:v>9.303030303030303</x:v>
      </x:c>
      <x:c r="H60" s="338" t="n">
        <x:v>0.6061</x:v>
      </x:c>
      <x:c r="I60" s="338" t="n">
        <x:v>0.1081</x:v>
      </x:c>
      <x:c r="J60" s="338" t="n">
        <x:v>0.0541</x:v>
      </x:c>
      <x:c r="K60" s="499" t="n">
        <x:v>21</x:v>
      </x:c>
      <x:c r="L60" s="336" t="n">
        <x:v>337000</x:v>
      </x:c>
      <x:c r="M60" s="334" t="n">
        <x:v>0.006500000000000001</x:v>
      </x:c>
      <x:c r="N60" s="499" t="n">
        <x:v>3.625</x:v>
      </x:c>
      <x:c r="O60" s="338" t="n">
        <x:v>0</x:v>
      </x:c>
      <x:c r="P60" s="330" t="n">
        <x:f>IF(G60&gt;Thresholds!$C$5,2,IF(G60&gt;Thresholds!$B$5,1,0))</x:f>
        <x:v>0</x:v>
      </x:c>
      <x:c r="Q60" s="330" t="n">
        <x:f>IF(I60&gt;Thresholds!$C$6,2,IF(I60&gt;Thresholds!$B$6,1,0))</x:f>
        <x:v>0</x:v>
      </x:c>
      <x:c r="R60" s="330" t="n">
        <x:f>IF(J60&gt;Thresholds!$C$7,2,IF(J60&gt;Thresholds!$B$7,1,0))</x:f>
        <x:v>2</x:v>
      </x:c>
      <x:c r="S60" s="330" t="n">
        <x:f>IF(K60&gt;Thresholds!$C$8,2,IF(K60&gt;Thresholds!$B$8,1,0))</x:f>
        <x:v>1</x:v>
      </x:c>
      <x:c r="T60" s="330" t="n">
        <x:f>IF(M60&gt;Thresholds!$C$9,2,IF(M60&gt;Thresholds!$B$9,1,0))</x:f>
        <x:v>1</x:v>
      </x:c>
      <x:c r="U60" s="330" t="n">
        <x:f>IF(N60&gt;Thresholds!$C$10,2,IF(N60&gt;Thresholds!$B$10,1,0))</x:f>
        <x:v>0</x:v>
      </x:c>
      <x:c r="V60" s="330" t="n">
        <x:f>IF(O60&gt;Thresholds!$C$11,2,IF(O60&gt;Thresholds!$B$11,1,0))</x:f>
        <x:v>0</x:v>
      </x:c>
      <x:c r="W60" s="330" t="n">
        <x:f>SUM(P60:V60)</x:f>
        <x:v>4</x:v>
      </x:c>
      <x:c r="X60" s="330" t="str">
        <x:f>IF(W60&gt;=Thresholds!$C$14,"Red",IF(W60&gt;=Thresholds!$B$14,"Yellow","Green"))</x:f>
        <x:v>Yellow</x:v>
      </x:c>
    </x:row>
    <x:row r="61">
      <x:c r="A61" s="330" t="str">
        <x:v>PRJ-052</x:v>
      </x:c>
      <x:c r="B61" s="330" t="str">
        <x:v>Copper Ridge Retail Pavilion</x:v>
      </x:c>
      <x:c r="C61" s="330" t="str">
        <x:v>Commercial</x:v>
      </x:c>
      <x:c r="D61" s="330" t="str">
        <x:v>Design-Build</x:v>
      </x:c>
      <x:c r="E61" s="336" t="n">
        <x:v>37364000</x:v>
      </x:c>
      <x:c r="F61" s="330" t="n">
        <x:v>23</x:v>
      </x:c>
      <x:c r="G61" s="499" t="n">
        <x:v>12.318181818181818</x:v>
      </x:c>
      <x:c r="H61" s="338" t="n">
        <x:v>0.4545</x:v>
      </x:c>
      <x:c r="I61" s="338" t="n">
        <x:v>0.0435</x:v>
      </x:c>
      <x:c r="J61" s="338" t="n">
        <x:v>0</x:v>
      </x:c>
      <x:c r="K61" s="499" t="n">
        <x:v>25.333333333333332</x:v>
      </x:c>
      <x:c r="L61" s="336" t="n">
        <x:v>242000</x:v>
      </x:c>
      <x:c r="M61" s="334" t="n">
        <x:v>0.0064800000000000005</x:v>
      </x:c>
      <x:c r="N61" s="499" t="n">
        <x:v>7.666666666666667</x:v>
      </x:c>
      <x:c r="O61" s="338" t="n">
        <x:v>0</x:v>
      </x:c>
      <x:c r="P61" s="330" t="n">
        <x:f>IF(G61&gt;Thresholds!$C$5,2,IF(G61&gt;Thresholds!$B$5,1,0))</x:f>
        <x:v>1</x:v>
      </x:c>
      <x:c r="Q61" s="330" t="n">
        <x:f>IF(I61&gt;Thresholds!$C$6,2,IF(I61&gt;Thresholds!$B$6,1,0))</x:f>
        <x:v>0</x:v>
      </x:c>
      <x:c r="R61" s="330" t="n">
        <x:f>IF(J61&gt;Thresholds!$C$7,2,IF(J61&gt;Thresholds!$B$7,1,0))</x:f>
        <x:v>0</x:v>
      </x:c>
      <x:c r="S61" s="330" t="n">
        <x:f>IF(K61&gt;Thresholds!$C$8,2,IF(K61&gt;Thresholds!$B$8,1,0))</x:f>
        <x:v>1</x:v>
      </x:c>
      <x:c r="T61" s="330" t="n">
        <x:f>IF(M61&gt;Thresholds!$C$9,2,IF(M61&gt;Thresholds!$B$9,1,0))</x:f>
        <x:v>1</x:v>
      </x:c>
      <x:c r="U61" s="330" t="n">
        <x:f>IF(N61&gt;Thresholds!$C$10,2,IF(N61&gt;Thresholds!$B$10,1,0))</x:f>
        <x:v>1</x:v>
      </x:c>
      <x:c r="V61" s="330" t="n">
        <x:f>IF(O61&gt;Thresholds!$C$11,2,IF(O61&gt;Thresholds!$B$11,1,0))</x:f>
        <x:v>0</x:v>
      </x:c>
      <x:c r="W61" s="330" t="n">
        <x:f>SUM(P61:V61)</x:f>
        <x:v>4</x:v>
      </x:c>
      <x:c r="X61" s="330" t="str">
        <x:f>IF(W61&gt;=Thresholds!$C$14,"Red",IF(W61&gt;=Thresholds!$B$14,"Yellow","Green"))</x:f>
        <x:v>Yellow</x:v>
      </x:c>
    </x:row>
    <x:row r="62">
      <x:c r="A62" s="330" t="str">
        <x:v>PRJ-079</x:v>
      </x:c>
      <x:c r="B62" s="330" t="str">
        <x:v>Summit Retail Pavilion 2</x:v>
      </x:c>
      <x:c r="C62" s="330" t="str">
        <x:v>Commercial</x:v>
      </x:c>
      <x:c r="D62" s="330" t="str">
        <x:v>Design-Build</x:v>
      </x:c>
      <x:c r="E62" s="336" t="n">
        <x:v>155934000</x:v>
      </x:c>
      <x:c r="F62" s="330" t="n">
        <x:v>43</x:v>
      </x:c>
      <x:c r="G62" s="499" t="n">
        <x:v>10.825</x:v>
      </x:c>
      <x:c r="H62" s="338" t="n">
        <x:v>0.45</x:v>
      </x:c>
      <x:c r="I62" s="338" t="n">
        <x:v>0.0698</x:v>
      </x:c>
      <x:c r="J62" s="338" t="n">
        <x:v>0.04650000000000001</x:v>
      </x:c>
      <x:c r="K62" s="499" t="n">
        <x:v>18.8</x:v>
      </x:c>
      <x:c r="L62" s="336" t="n">
        <x:v>577000</x:v>
      </x:c>
      <x:c r="M62" s="334" t="n">
        <x:v>0.0037</x:v>
      </x:c>
      <x:c r="N62" s="499" t="n">
        <x:v>8.333333333333334</x:v>
      </x:c>
      <x:c r="O62" s="338" t="n">
        <x:v>0.1</x:v>
      </x:c>
      <x:c r="P62" s="330" t="n">
        <x:f>IF(G62&gt;Thresholds!$C$5,2,IF(G62&gt;Thresholds!$B$5,1,0))</x:f>
        <x:v>1</x:v>
      </x:c>
      <x:c r="Q62" s="330" t="n">
        <x:f>IF(I62&gt;Thresholds!$C$6,2,IF(I62&gt;Thresholds!$B$6,1,0))</x:f>
        <x:v>0</x:v>
      </x:c>
      <x:c r="R62" s="330" t="n">
        <x:f>IF(J62&gt;Thresholds!$C$7,2,IF(J62&gt;Thresholds!$B$7,1,0))</x:f>
        <x:v>1</x:v>
      </x:c>
      <x:c r="S62" s="330" t="n">
        <x:f>IF(K62&gt;Thresholds!$C$8,2,IF(K62&gt;Thresholds!$B$8,1,0))</x:f>
        <x:v>0</x:v>
      </x:c>
      <x:c r="T62" s="330" t="n">
        <x:f>IF(M62&gt;Thresholds!$C$9,2,IF(M62&gt;Thresholds!$B$9,1,0))</x:f>
        <x:v>0</x:v>
      </x:c>
      <x:c r="U62" s="330" t="n">
        <x:f>IF(N62&gt;Thresholds!$C$10,2,IF(N62&gt;Thresholds!$B$10,1,0))</x:f>
        <x:v>1</x:v>
      </x:c>
      <x:c r="V62" s="330" t="n">
        <x:f>IF(O62&gt;Thresholds!$C$11,2,IF(O62&gt;Thresholds!$B$11,1,0))</x:f>
        <x:v>1</x:v>
      </x:c>
      <x:c r="W62" s="330" t="n">
        <x:f>SUM(P62:V62)</x:f>
        <x:v>4</x:v>
      </x:c>
      <x:c r="X62" s="330" t="str">
        <x:f>IF(W62&gt;=Thresholds!$C$14,"Red",IF(W62&gt;=Thresholds!$B$14,"Yellow","Green"))</x:f>
        <x:v>Yellow</x:v>
      </x:c>
    </x:row>
    <x:row r="63">
      <x:c r="A63" s="330" t="str">
        <x:v>PRJ-011</x:v>
      </x:c>
      <x:c r="B63" s="330" t="str">
        <x:v>Aspen Retail Pavilion</x:v>
      </x:c>
      <x:c r="C63" s="330" t="str">
        <x:v>Commercial</x:v>
      </x:c>
      <x:c r="D63" s="330" t="str">
        <x:v>Design-Build</x:v>
      </x:c>
      <x:c r="E63" s="336" t="n">
        <x:v>46836000</x:v>
      </x:c>
      <x:c r="F63" s="330" t="n">
        <x:v>34</x:v>
      </x:c>
      <x:c r="G63" s="499" t="n">
        <x:v>10.096774193548388</x:v>
      </x:c>
      <x:c r="H63" s="338" t="n">
        <x:v>0.45159999999999995</x:v>
      </x:c>
      <x:c r="I63" s="338" t="n">
        <x:v>0.0882</x:v>
      </x:c>
      <x:c r="J63" s="338" t="n">
        <x:v>0.0294</x:v>
      </x:c>
      <x:c r="K63" s="499" t="n">
        <x:v>27.8</x:v>
      </x:c>
      <x:c r="L63" s="336" t="n">
        <x:v>111000</x:v>
      </x:c>
      <x:c r="M63" s="334" t="n">
        <x:v>0.0023699999999999997</x:v>
      </x:c>
      <x:c r="N63" s="499" t="n">
        <x:v>5.3</x:v>
      </x:c>
      <x:c r="O63" s="338" t="n">
        <x:v>0</x:v>
      </x:c>
      <x:c r="P63" s="330" t="n">
        <x:f>IF(G63&gt;Thresholds!$C$5,2,IF(G63&gt;Thresholds!$B$5,1,0))</x:f>
        <x:v>1</x:v>
      </x:c>
      <x:c r="Q63" s="330" t="n">
        <x:f>IF(I63&gt;Thresholds!$C$6,2,IF(I63&gt;Thresholds!$B$6,1,0))</x:f>
        <x:v>0</x:v>
      </x:c>
      <x:c r="R63" s="330" t="n">
        <x:f>IF(J63&gt;Thresholds!$C$7,2,IF(J63&gt;Thresholds!$B$7,1,0))</x:f>
        <x:v>1</x:v>
      </x:c>
      <x:c r="S63" s="330" t="n">
        <x:f>IF(K63&gt;Thresholds!$C$8,2,IF(K63&gt;Thresholds!$B$8,1,0))</x:f>
        <x:v>1</x:v>
      </x:c>
      <x:c r="T63" s="330" t="n">
        <x:f>IF(M63&gt;Thresholds!$C$9,2,IF(M63&gt;Thresholds!$B$9,1,0))</x:f>
        <x:v>0</x:v>
      </x:c>
      <x:c r="U63" s="330" t="n">
        <x:f>IF(N63&gt;Thresholds!$C$10,2,IF(N63&gt;Thresholds!$B$10,1,0))</x:f>
        <x:v>1</x:v>
      </x:c>
      <x:c r="V63" s="330" t="n">
        <x:f>IF(O63&gt;Thresholds!$C$11,2,IF(O63&gt;Thresholds!$B$11,1,0))</x:f>
        <x:v>0</x:v>
      </x:c>
      <x:c r="W63" s="330" t="n">
        <x:f>SUM(P63:V63)</x:f>
        <x:v>4</x:v>
      </x:c>
      <x:c r="X63" s="330" t="str">
        <x:f>IF(W63&gt;=Thresholds!$C$14,"Red",IF(W63&gt;=Thresholds!$B$14,"Yellow","Green"))</x:f>
        <x:v>Yellow</x:v>
      </x:c>
    </x:row>
    <x:row r="64">
      <x:c r="A64" s="330" t="str">
        <x:v>PRJ-022</x:v>
      </x:c>
      <x:c r="B64" s="330" t="str">
        <x:v>Frontier Urban Village</x:v>
      </x:c>
      <x:c r="C64" s="330" t="str">
        <x:v>Mixed-Use</x:v>
      </x:c>
      <x:c r="D64" s="330" t="str">
        <x:v>Design-Bid-Build</x:v>
      </x:c>
      <x:c r="E64" s="336" t="n">
        <x:v>218801000</x:v>
      </x:c>
      <x:c r="F64" s="330" t="n">
        <x:v>44</x:v>
      </x:c>
      <x:c r="G64" s="499" t="n">
        <x:v>8.324324324324325</x:v>
      </x:c>
      <x:c r="H64" s="338" t="n">
        <x:v>0.7837999999999999</x:v>
      </x:c>
      <x:c r="I64" s="338" t="n">
        <x:v>0.1591</x:v>
      </x:c>
      <x:c r="J64" s="338" t="n">
        <x:v>0.0227</x:v>
      </x:c>
      <x:c r="K64" s="499" t="n">
        <x:v>14.285714285714286</x:v>
      </x:c>
      <x:c r="L64" s="336" t="n">
        <x:v>403000</x:v>
      </x:c>
      <x:c r="M64" s="334" t="n">
        <x:v>0.00184</x:v>
      </x:c>
      <x:c r="N64" s="499" t="n">
        <x:v>6.166666666666667</x:v>
      </x:c>
      <x:c r="O64" s="338" t="n">
        <x:v>0.1429</x:v>
      </x:c>
      <x:c r="P64" s="330" t="n">
        <x:f>IF(G64&gt;Thresholds!$C$5,2,IF(G64&gt;Thresholds!$B$5,1,0))</x:f>
        <x:v>0</x:v>
      </x:c>
      <x:c r="Q64" s="330" t="n">
        <x:f>IF(I64&gt;Thresholds!$C$6,2,IF(I64&gt;Thresholds!$B$6,1,0))</x:f>
        <x:v>1</x:v>
      </x:c>
      <x:c r="R64" s="330" t="n">
        <x:f>IF(J64&gt;Thresholds!$C$7,2,IF(J64&gt;Thresholds!$B$7,1,0))</x:f>
        <x:v>1</x:v>
      </x:c>
      <x:c r="S64" s="330" t="n">
        <x:f>IF(K64&gt;Thresholds!$C$8,2,IF(K64&gt;Thresholds!$B$8,1,0))</x:f>
        <x:v>0</x:v>
      </x:c>
      <x:c r="T64" s="330" t="n">
        <x:f>IF(M64&gt;Thresholds!$C$9,2,IF(M64&gt;Thresholds!$B$9,1,0))</x:f>
        <x:v>0</x:v>
      </x:c>
      <x:c r="U64" s="330" t="n">
        <x:f>IF(N64&gt;Thresholds!$C$10,2,IF(N64&gt;Thresholds!$B$10,1,0))</x:f>
        <x:v>1</x:v>
      </x:c>
      <x:c r="V64" s="330" t="n">
        <x:f>IF(O64&gt;Thresholds!$C$11,2,IF(O64&gt;Thresholds!$B$11,1,0))</x:f>
        <x:v>1</x:v>
      </x:c>
      <x:c r="W64" s="330" t="n">
        <x:f>SUM(P64:V64)</x:f>
        <x:v>4</x:v>
      </x:c>
      <x:c r="X64" s="330" t="str">
        <x:f>IF(W64&gt;=Thresholds!$C$14,"Red",IF(W64&gt;=Thresholds!$B$14,"Yellow","Green"))</x:f>
        <x:v>Yellow</x:v>
      </x:c>
    </x:row>
    <x:row r="65">
      <x:c r="A65" s="330" t="str">
        <x:v>PRJ-077</x:v>
      </x:c>
      <x:c r="B65" s="330" t="str">
        <x:v>Silver Creek Retail Pavilion</x:v>
      </x:c>
      <x:c r="C65" s="330" t="str">
        <x:v>Commercial</x:v>
      </x:c>
      <x:c r="D65" s="330" t="str">
        <x:v>CMAR</x:v>
      </x:c>
      <x:c r="E65" s="336" t="n">
        <x:v>202367000</x:v>
      </x:c>
      <x:c r="F65" s="330" t="n">
        <x:v>67</x:v>
      </x:c>
      <x:c r="G65" s="499" t="n">
        <x:v>15.666666666666666</x:v>
      </x:c>
      <x:c r="H65" s="338" t="n">
        <x:v>0.1905</x:v>
      </x:c>
      <x:c r="I65" s="338" t="n">
        <x:v>0.059699999999999996</x:v>
      </x:c>
      <x:c r="J65" s="338" t="n">
        <x:v>0.029900000000000003</x:v>
      </x:c>
      <x:c r="K65" s="499" t="n">
        <x:v>31.5</x:v>
      </x:c>
      <x:c r="L65" s="336" t="n">
        <x:v>309000</x:v>
      </x:c>
      <x:c r="M65" s="334" t="n">
        <x:v>0.00153</x:v>
      </x:c>
      <x:c r="N65" s="499" t="n">
        <x:v>4.666666666666667</x:v>
      </x:c>
      <x:c r="O65" s="338" t="n">
        <x:v>0</x:v>
      </x:c>
      <x:c r="P65" s="330" t="n">
        <x:f>IF(G65&gt;Thresholds!$C$5,2,IF(G65&gt;Thresholds!$B$5,1,0))</x:f>
        <x:v>2</x:v>
      </x:c>
      <x:c r="Q65" s="330" t="n">
        <x:f>IF(I65&gt;Thresholds!$C$6,2,IF(I65&gt;Thresholds!$B$6,1,0))</x:f>
        <x:v>0</x:v>
      </x:c>
      <x:c r="R65" s="330" t="n">
        <x:f>IF(J65&gt;Thresholds!$C$7,2,IF(J65&gt;Thresholds!$B$7,1,0))</x:f>
        <x:v>1</x:v>
      </x:c>
      <x:c r="S65" s="330" t="n">
        <x:f>IF(K65&gt;Thresholds!$C$8,2,IF(K65&gt;Thresholds!$B$8,1,0))</x:f>
        <x:v>1</x:v>
      </x:c>
      <x:c r="T65" s="330" t="n">
        <x:f>IF(M65&gt;Thresholds!$C$9,2,IF(M65&gt;Thresholds!$B$9,1,0))</x:f>
        <x:v>0</x:v>
      </x:c>
      <x:c r="U65" s="330" t="n">
        <x:f>IF(N65&gt;Thresholds!$C$10,2,IF(N65&gt;Thresholds!$B$10,1,0))</x:f>
        <x:v>0</x:v>
      </x:c>
      <x:c r="V65" s="330" t="n">
        <x:f>IF(O65&gt;Thresholds!$C$11,2,IF(O65&gt;Thresholds!$B$11,1,0))</x:f>
        <x:v>0</x:v>
      </x:c>
      <x:c r="W65" s="330" t="n">
        <x:f>SUM(P65:V65)</x:f>
        <x:v>4</x:v>
      </x:c>
      <x:c r="X65" s="330" t="str">
        <x:f>IF(W65&gt;=Thresholds!$C$14,"Red",IF(W65&gt;=Thresholds!$B$14,"Yellow","Green"))</x:f>
        <x:v>Yellow</x:v>
      </x:c>
    </x:row>
    <x:row r="66">
      <x:c r="A66" s="330" t="str">
        <x:v>PRJ-018</x:v>
      </x:c>
      <x:c r="B66" s="330" t="str">
        <x:v>Frontier Manufacturing Facility</x:v>
      </x:c>
      <x:c r="C66" s="330" t="str">
        <x:v>Industrial</x:v>
      </x:c>
      <x:c r="D66" s="330" t="str">
        <x:v>CMAR</x:v>
      </x:c>
      <x:c r="E66" s="336" t="n">
        <x:v>329366000</x:v>
      </x:c>
      <x:c r="F66" s="330" t="n">
        <x:v>47</x:v>
      </x:c>
      <x:c r="G66" s="499" t="n">
        <x:v>7.102564102564102</x:v>
      </x:c>
      <x:c r="H66" s="338" t="n">
        <x:v>0.8462000000000001</x:v>
      </x:c>
      <x:c r="I66" s="338" t="n">
        <x:v>0.1702</x:v>
      </x:c>
      <x:c r="J66" s="338" t="n">
        <x:v>0.0851</x:v>
      </x:c>
      <x:c r="K66" s="499" t="n">
        <x:v>15.625</x:v>
      </x:c>
      <x:c r="L66" s="336" t="n">
        <x:v>150000</x:v>
      </x:c>
      <x:c r="M66" s="334" t="n">
        <x:v>0.00046</x:v>
      </x:c>
      <x:c r="N66" s="499" t="n">
        <x:v>6</x:v>
      </x:c>
      <x:c r="O66" s="338" t="n">
        <x:v>0</x:v>
      </x:c>
      <x:c r="P66" s="330" t="n">
        <x:f>IF(G66&gt;Thresholds!$C$5,2,IF(G66&gt;Thresholds!$B$5,1,0))</x:f>
        <x:v>0</x:v>
      </x:c>
      <x:c r="Q66" s="330" t="n">
        <x:f>IF(I66&gt;Thresholds!$C$6,2,IF(I66&gt;Thresholds!$B$6,1,0))</x:f>
        <x:v>1</x:v>
      </x:c>
      <x:c r="R66" s="330" t="n">
        <x:f>IF(J66&gt;Thresholds!$C$7,2,IF(J66&gt;Thresholds!$B$7,1,0))</x:f>
        <x:v>2</x:v>
      </x:c>
      <x:c r="S66" s="330" t="n">
        <x:f>IF(K66&gt;Thresholds!$C$8,2,IF(K66&gt;Thresholds!$B$8,1,0))</x:f>
        <x:v>0</x:v>
      </x:c>
      <x:c r="T66" s="330" t="n">
        <x:f>IF(M66&gt;Thresholds!$C$9,2,IF(M66&gt;Thresholds!$B$9,1,0))</x:f>
        <x:v>0</x:v>
      </x:c>
      <x:c r="U66" s="330" t="n">
        <x:f>IF(N66&gt;Thresholds!$C$10,2,IF(N66&gt;Thresholds!$B$10,1,0))</x:f>
        <x:v>1</x:v>
      </x:c>
      <x:c r="V66" s="330" t="n">
        <x:f>IF(O66&gt;Thresholds!$C$11,2,IF(O66&gt;Thresholds!$B$11,1,0))</x:f>
        <x:v>0</x:v>
      </x:c>
      <x:c r="W66" s="330" t="n">
        <x:f>SUM(P66:V66)</x:f>
        <x:v>4</x:v>
      </x:c>
      <x:c r="X66" s="330" t="str">
        <x:f>IF(W66&gt;=Thresholds!$C$14,"Red",IF(W66&gt;=Thresholds!$B$14,"Yellow","Green"))</x:f>
        <x:v>Yellow</x:v>
      </x:c>
    </x:row>
    <x:row r="67">
      <x:c r="A67" s="330" t="str">
        <x:v>PRJ-050</x:v>
      </x:c>
      <x:c r="B67" s="330" t="str">
        <x:v>Evergreen Corporate Center</x:v>
      </x:c>
      <x:c r="C67" s="330" t="str">
        <x:v>Commercial</x:v>
      </x:c>
      <x:c r="D67" s="330" t="str">
        <x:v>CMAR</x:v>
      </x:c>
      <x:c r="E67" s="336" t="n">
        <x:v>176226000</x:v>
      </x:c>
      <x:c r="F67" s="330" t="n">
        <x:v>26</x:v>
      </x:c>
      <x:c r="G67" s="499" t="n">
        <x:v>6.125</x:v>
      </x:c>
      <x:c r="H67" s="338" t="n">
        <x:v>0.75</x:v>
      </x:c>
      <x:c r="I67" s="338" t="n">
        <x:v>0.07690000000000001</x:v>
      </x:c>
      <x:c r="J67" s="338" t="n">
        <x:v>0.0385</x:v>
      </x:c>
      <x:c r="K67" s="499" t="n">
        <x:v>14.6</x:v>
      </x:c>
      <x:c r="L67" s="336" t="n">
        <x:v>0</x:v>
      </x:c>
      <x:c r="M67" s="334" t="n">
        <x:v>0</x:v>
      </x:c>
      <x:c r="N67" s="499" t="n">
        <x:v>8</x:v>
      </x:c>
      <x:c r="O67" s="338" t="n">
        <x:v>0.2</x:v>
      </x:c>
      <x:c r="P67" s="330" t="n">
        <x:f>IF(G67&gt;Thresholds!$C$5,2,IF(G67&gt;Thresholds!$B$5,1,0))</x:f>
        <x:v>0</x:v>
      </x:c>
      <x:c r="Q67" s="330" t="n">
        <x:f>IF(I67&gt;Thresholds!$C$6,2,IF(I67&gt;Thresholds!$B$6,1,0))</x:f>
        <x:v>0</x:v>
      </x:c>
      <x:c r="R67" s="330" t="n">
        <x:f>IF(J67&gt;Thresholds!$C$7,2,IF(J67&gt;Thresholds!$B$7,1,0))</x:f>
        <x:v>1</x:v>
      </x:c>
      <x:c r="S67" s="330" t="n">
        <x:f>IF(K67&gt;Thresholds!$C$8,2,IF(K67&gt;Thresholds!$B$8,1,0))</x:f>
        <x:v>0</x:v>
      </x:c>
      <x:c r="T67" s="330" t="n">
        <x:f>IF(M67&gt;Thresholds!$C$9,2,IF(M67&gt;Thresholds!$B$9,1,0))</x:f>
        <x:v>0</x:v>
      </x:c>
      <x:c r="U67" s="330" t="n">
        <x:f>IF(N67&gt;Thresholds!$C$10,2,IF(N67&gt;Thresholds!$B$10,1,0))</x:f>
        <x:v>1</x:v>
      </x:c>
      <x:c r="V67" s="330" t="n">
        <x:f>IF(O67&gt;Thresholds!$C$11,2,IF(O67&gt;Thresholds!$B$11,1,0))</x:f>
        <x:v>2</x:v>
      </x:c>
      <x:c r="W67" s="330" t="n">
        <x:f>SUM(P67:V67)</x:f>
        <x:v>4</x:v>
      </x:c>
      <x:c r="X67" s="330" t="str">
        <x:f>IF(W67&gt;=Thresholds!$C$14,"Red",IF(W67&gt;=Thresholds!$B$14,"Yellow","Green"))</x:f>
        <x:v>Yellow</x:v>
      </x:c>
    </x:row>
    <x:row r="68">
      <x:c r="A68" s="330" t="str">
        <x:v>PRJ-034</x:v>
      </x:c>
      <x:c r="B68" s="330" t="str">
        <x:v>Summit Retail Pavilion</x:v>
      </x:c>
      <x:c r="C68" s="330" t="str">
        <x:v>Commercial</x:v>
      </x:c>
      <x:c r="D68" s="330" t="str">
        <x:v>Design-Bid-Build</x:v>
      </x:c>
      <x:c r="E68" s="336" t="n">
        <x:v>39832000</x:v>
      </x:c>
      <x:c r="F68" s="330" t="n">
        <x:v>30</x:v>
      </x:c>
      <x:c r="G68" s="499" t="n">
        <x:v>15.5</x:v>
      </x:c>
      <x:c r="H68" s="338" t="n">
        <x:v>0.2857</x:v>
      </x:c>
      <x:c r="I68" s="338" t="n">
        <x:v>0.0667</x:v>
      </x:c>
      <x:c r="J68" s="338" t="n">
        <x:v>0</x:v>
      </x:c>
      <x:c r="K68" s="499" t="n">
        <x:v>30.636363636363637</x:v>
      </x:c>
      <x:c r="L68" s="336" t="n">
        <x:v>0</x:v>
      </x:c>
      <x:c r="M68" s="334" t="n">
        <x:v>0</x:v>
      </x:c>
      <x:c r="N68" s="499" t="n">
        <x:v>5.090909090909091</x:v>
      </x:c>
      <x:c r="O68" s="338" t="n">
        <x:v>0</x:v>
      </x:c>
      <x:c r="P68" s="330" t="n">
        <x:f>IF(G68&gt;Thresholds!$C$5,2,IF(G68&gt;Thresholds!$B$5,1,0))</x:f>
        <x:v>2</x:v>
      </x:c>
      <x:c r="Q68" s="330" t="n">
        <x:f>IF(I68&gt;Thresholds!$C$6,2,IF(I68&gt;Thresholds!$B$6,1,0))</x:f>
        <x:v>0</x:v>
      </x:c>
      <x:c r="R68" s="330" t="n">
        <x:f>IF(J68&gt;Thresholds!$C$7,2,IF(J68&gt;Thresholds!$B$7,1,0))</x:f>
        <x:v>0</x:v>
      </x:c>
      <x:c r="S68" s="330" t="n">
        <x:f>IF(K68&gt;Thresholds!$C$8,2,IF(K68&gt;Thresholds!$B$8,1,0))</x:f>
        <x:v>1</x:v>
      </x:c>
      <x:c r="T68" s="330" t="n">
        <x:f>IF(M68&gt;Thresholds!$C$9,2,IF(M68&gt;Thresholds!$B$9,1,0))</x:f>
        <x:v>0</x:v>
      </x:c>
      <x:c r="U68" s="330" t="n">
        <x:f>IF(N68&gt;Thresholds!$C$10,2,IF(N68&gt;Thresholds!$B$10,1,0))</x:f>
        <x:v>1</x:v>
      </x:c>
      <x:c r="V68" s="330" t="n">
        <x:f>IF(O68&gt;Thresholds!$C$11,2,IF(O68&gt;Thresholds!$B$11,1,0))</x:f>
        <x:v>0</x:v>
      </x:c>
      <x:c r="W68" s="330" t="n">
        <x:f>SUM(P68:V68)</x:f>
        <x:v>4</x:v>
      </x:c>
      <x:c r="X68" s="330" t="str">
        <x:f>IF(W68&gt;=Thresholds!$C$14,"Red",IF(W68&gt;=Thresholds!$B$14,"Yellow","Green"))</x:f>
        <x:v>Yellow</x:v>
      </x:c>
    </x:row>
    <x:row r="69">
      <x:c r="A69" s="330" t="str">
        <x:v>PRJ-089</x:v>
      </x:c>
      <x:c r="B69" s="330" t="str">
        <x:v>Evergreen Housing Community</x:v>
      </x:c>
      <x:c r="C69" s="330" t="str">
        <x:v>Residential</x:v>
      </x:c>
      <x:c r="D69" s="330" t="str">
        <x:v>Design-Bid-Build</x:v>
      </x:c>
      <x:c r="E69" s="336" t="n">
        <x:v>28248000</x:v>
      </x:c>
      <x:c r="F69" s="330" t="n">
        <x:v>22</x:v>
      </x:c>
      <x:c r="G69" s="499" t="n">
        <x:v>8.142857142857142</x:v>
      </x:c>
      <x:c r="H69" s="338" t="n">
        <x:v>0.8095</x:v>
      </x:c>
      <x:c r="I69" s="338" t="n">
        <x:v>0.0455</x:v>
      </x:c>
      <x:c r="J69" s="338" t="n">
        <x:v>0.0455</x:v>
      </x:c>
      <x:c r="K69" s="499" t="n">
        <x:v>18.333333333333332</x:v>
      </x:c>
      <x:c r="L69" s="336" t="n">
        <x:v>0</x:v>
      </x:c>
      <x:c r="M69" s="334" t="n">
        <x:v>0</x:v>
      </x:c>
      <x:c r="N69" s="499" t="n">
        <x:v>10.125</x:v>
      </x:c>
      <x:c r="O69" s="338" t="n">
        <x:v>0.11109999999999999</x:v>
      </x:c>
      <x:c r="P69" s="330" t="n">
        <x:f>IF(G69&gt;Thresholds!$C$5,2,IF(G69&gt;Thresholds!$B$5,1,0))</x:f>
        <x:v>0</x:v>
      </x:c>
      <x:c r="Q69" s="330" t="n">
        <x:f>IF(I69&gt;Thresholds!$C$6,2,IF(I69&gt;Thresholds!$B$6,1,0))</x:f>
        <x:v>0</x:v>
      </x:c>
      <x:c r="R69" s="330" t="n">
        <x:f>IF(J69&gt;Thresholds!$C$7,2,IF(J69&gt;Thresholds!$B$7,1,0))</x:f>
        <x:v>1</x:v>
      </x:c>
      <x:c r="S69" s="330" t="n">
        <x:f>IF(K69&gt;Thresholds!$C$8,2,IF(K69&gt;Thresholds!$B$8,1,0))</x:f>
        <x:v>0</x:v>
      </x:c>
      <x:c r="T69" s="330" t="n">
        <x:f>IF(M69&gt;Thresholds!$C$9,2,IF(M69&gt;Thresholds!$B$9,1,0))</x:f>
        <x:v>0</x:v>
      </x:c>
      <x:c r="U69" s="330" t="n">
        <x:f>IF(N69&gt;Thresholds!$C$10,2,IF(N69&gt;Thresholds!$B$10,1,0))</x:f>
        <x:v>2</x:v>
      </x:c>
      <x:c r="V69" s="330" t="n">
        <x:f>IF(O69&gt;Thresholds!$C$11,2,IF(O69&gt;Thresholds!$B$11,1,0))</x:f>
        <x:v>1</x:v>
      </x:c>
      <x:c r="W69" s="330" t="n">
        <x:f>SUM(P69:V69)</x:f>
        <x:v>4</x:v>
      </x:c>
      <x:c r="X69" s="330" t="str">
        <x:f>IF(W69&gt;=Thresholds!$C$14,"Red",IF(W69&gt;=Thresholds!$B$14,"Yellow","Green"))</x:f>
        <x:v>Yellow</x:v>
      </x:c>
    </x:row>
    <x:row r="70">
      <x:c r="A70" s="330" t="str">
        <x:v>PRJ-004</x:v>
      </x:c>
      <x:c r="B70" s="330" t="str">
        <x:v>Silver Creek Urban Village</x:v>
      </x:c>
      <x:c r="C70" s="330" t="str">
        <x:v>Mixed-Use</x:v>
      </x:c>
      <x:c r="D70" s="330" t="str">
        <x:v>Design-Bid-Build</x:v>
      </x:c>
      <x:c r="E70" s="336" t="n">
        <x:v>103276000</x:v>
      </x:c>
      <x:c r="F70" s="330" t="n">
        <x:v>29</x:v>
      </x:c>
      <x:c r="G70" s="499" t="n">
        <x:v>5.076923076923077</x:v>
      </x:c>
      <x:c r="H70" s="338" t="n">
        <x:v>0.9231</x:v>
      </x:c>
      <x:c r="I70" s="338" t="n">
        <x:v>0.10339999999999999</x:v>
      </x:c>
      <x:c r="J70" s="338" t="n">
        <x:v>0.0345</x:v>
      </x:c>
      <x:c r="K70" s="499" t="n">
        <x:v>15.714285714285714</x:v>
      </x:c>
      <x:c r="L70" s="336" t="n">
        <x:v>1355000</x:v>
      </x:c>
      <x:c r="M70" s="334" t="n">
        <x:v>0.01312</x:v>
      </x:c>
      <x:c r="N70" s="499" t="n">
        <x:v>7.571428571428571</x:v>
      </x:c>
      <x:c r="O70" s="338" t="n">
        <x:v>0</x:v>
      </x:c>
      <x:c r="P70" s="330" t="n">
        <x:f>IF(G70&gt;Thresholds!$C$5,2,IF(G70&gt;Thresholds!$B$5,1,0))</x:f>
        <x:v>0</x:v>
      </x:c>
      <x:c r="Q70" s="330" t="n">
        <x:f>IF(I70&gt;Thresholds!$C$6,2,IF(I70&gt;Thresholds!$B$6,1,0))</x:f>
        <x:v>0</x:v>
      </x:c>
      <x:c r="R70" s="330" t="n">
        <x:f>IF(J70&gt;Thresholds!$C$7,2,IF(J70&gt;Thresholds!$B$7,1,0))</x:f>
        <x:v>1</x:v>
      </x:c>
      <x:c r="S70" s="330" t="n">
        <x:f>IF(K70&gt;Thresholds!$C$8,2,IF(K70&gt;Thresholds!$B$8,1,0))</x:f>
        <x:v>0</x:v>
      </x:c>
      <x:c r="T70" s="330" t="n">
        <x:f>IF(M70&gt;Thresholds!$C$9,2,IF(M70&gt;Thresholds!$B$9,1,0))</x:f>
        <x:v>1</x:v>
      </x:c>
      <x:c r="U70" s="330" t="n">
        <x:f>IF(N70&gt;Thresholds!$C$10,2,IF(N70&gt;Thresholds!$B$10,1,0))</x:f>
        <x:v>1</x:v>
      </x:c>
      <x:c r="V70" s="330" t="n">
        <x:f>IF(O70&gt;Thresholds!$C$11,2,IF(O70&gt;Thresholds!$B$11,1,0))</x:f>
        <x:v>0</x:v>
      </x:c>
      <x:c r="W70" s="330" t="n">
        <x:f>SUM(P70:V70)</x:f>
        <x:v>3</x:v>
      </x:c>
      <x:c r="X70" s="330" t="str">
        <x:f>IF(W70&gt;=Thresholds!$C$14,"Red",IF(W70&gt;=Thresholds!$B$14,"Yellow","Green"))</x:f>
        <x:v>Yellow</x:v>
      </x:c>
    </x:row>
    <x:row r="71">
      <x:c r="A71" s="330" t="str">
        <x:v>PRJ-005</x:v>
      </x:c>
      <x:c r="B71" s="330" t="str">
        <x:v>Red Rock Civic Complex</x:v>
      </x:c>
      <x:c r="C71" s="330" t="str">
        <x:v>Institutional</x:v>
      </x:c>
      <x:c r="D71" s="330" t="str">
        <x:v>IPD</x:v>
      </x:c>
      <x:c r="E71" s="336" t="n">
        <x:v>85679000</x:v>
      </x:c>
      <x:c r="F71" s="330" t="n">
        <x:v>28</x:v>
      </x:c>
      <x:c r="G71" s="499" t="n">
        <x:v>8.642857142857142</x:v>
      </x:c>
      <x:c r="H71" s="338" t="n">
        <x:v>0.6429</x:v>
      </x:c>
      <x:c r="I71" s="338" t="n">
        <x:v>0</x:v>
      </x:c>
      <x:c r="J71" s="338" t="n">
        <x:v>0</x:v>
      </x:c>
      <x:c r="K71" s="499" t="n">
        <x:v>28.333333333333332</x:v>
      </x:c>
      <x:c r="L71" s="336" t="n">
        <x:v>1093000</x:v>
      </x:c>
      <x:c r="M71" s="334" t="n">
        <x:v>0.01276</x:v>
      </x:c>
      <x:c r="N71" s="499" t="n">
        <x:v>6.666666666666667</x:v>
      </x:c>
      <x:c r="O71" s="338" t="n">
        <x:v>0</x:v>
      </x:c>
      <x:c r="P71" s="330" t="n">
        <x:f>IF(G71&gt;Thresholds!$C$5,2,IF(G71&gt;Thresholds!$B$5,1,0))</x:f>
        <x:v>0</x:v>
      </x:c>
      <x:c r="Q71" s="330" t="n">
        <x:f>IF(I71&gt;Thresholds!$C$6,2,IF(I71&gt;Thresholds!$B$6,1,0))</x:f>
        <x:v>0</x:v>
      </x:c>
      <x:c r="R71" s="330" t="n">
        <x:f>IF(J71&gt;Thresholds!$C$7,2,IF(J71&gt;Thresholds!$B$7,1,0))</x:f>
        <x:v>0</x:v>
      </x:c>
      <x:c r="S71" s="330" t="n">
        <x:f>IF(K71&gt;Thresholds!$C$8,2,IF(K71&gt;Thresholds!$B$8,1,0))</x:f>
        <x:v>1</x:v>
      </x:c>
      <x:c r="T71" s="330" t="n">
        <x:f>IF(M71&gt;Thresholds!$C$9,2,IF(M71&gt;Thresholds!$B$9,1,0))</x:f>
        <x:v>1</x:v>
      </x:c>
      <x:c r="U71" s="330" t="n">
        <x:f>IF(N71&gt;Thresholds!$C$10,2,IF(N71&gt;Thresholds!$B$10,1,0))</x:f>
        <x:v>1</x:v>
      </x:c>
      <x:c r="V71" s="330" t="n">
        <x:f>IF(O71&gt;Thresholds!$C$11,2,IF(O71&gt;Thresholds!$B$11,1,0))</x:f>
        <x:v>0</x:v>
      </x:c>
      <x:c r="W71" s="330" t="n">
        <x:f>SUM(P71:V71)</x:f>
        <x:v>3</x:v>
      </x:c>
      <x:c r="X71" s="330" t="str">
        <x:f>IF(W71&gt;=Thresholds!$C$14,"Red",IF(W71&gt;=Thresholds!$B$14,"Yellow","Green"))</x:f>
        <x:v>Yellow</x:v>
      </x:c>
    </x:row>
    <x:row r="72">
      <x:c r="A72" s="330" t="str">
        <x:v>PRJ-058</x:v>
      </x:c>
      <x:c r="B72" s="330" t="str">
        <x:v>Mountain Gate Housing Community</x:v>
      </x:c>
      <x:c r="C72" s="330" t="str">
        <x:v>Residential</x:v>
      </x:c>
      <x:c r="D72" s="330" t="str">
        <x:v>Design-Build</x:v>
      </x:c>
      <x:c r="E72" s="336" t="n">
        <x:v>39523000</x:v>
      </x:c>
      <x:c r="F72" s="330" t="n">
        <x:v>30</x:v>
      </x:c>
      <x:c r="G72" s="499" t="n">
        <x:v>8.862068965517242</x:v>
      </x:c>
      <x:c r="H72" s="338" t="n">
        <x:v>0.6897</x:v>
      </x:c>
      <x:c r="I72" s="338" t="n">
        <x:v>0.0333</x:v>
      </x:c>
      <x:c r="J72" s="338" t="n">
        <x:v>0</x:v>
      </x:c>
      <x:c r="K72" s="499" t="n">
        <x:v>19.5</x:v>
      </x:c>
      <x:c r="L72" s="336" t="n">
        <x:v>408000</x:v>
      </x:c>
      <x:c r="M72" s="334" t="n">
        <x:v>0.010320000000000001</x:v>
      </x:c>
      <x:c r="N72" s="499" t="n">
        <x:v>1</x:v>
      </x:c>
      <x:c r="O72" s="338" t="n">
        <x:v>0.5</x:v>
      </x:c>
      <x:c r="P72" s="330" t="n">
        <x:f>IF(G72&gt;Thresholds!$C$5,2,IF(G72&gt;Thresholds!$B$5,1,0))</x:f>
        <x:v>0</x:v>
      </x:c>
      <x:c r="Q72" s="330" t="n">
        <x:f>IF(I72&gt;Thresholds!$C$6,2,IF(I72&gt;Thresholds!$B$6,1,0))</x:f>
        <x:v>0</x:v>
      </x:c>
      <x:c r="R72" s="330" t="n">
        <x:f>IF(J72&gt;Thresholds!$C$7,2,IF(J72&gt;Thresholds!$B$7,1,0))</x:f>
        <x:v>0</x:v>
      </x:c>
      <x:c r="S72" s="330" t="n">
        <x:f>IF(K72&gt;Thresholds!$C$8,2,IF(K72&gt;Thresholds!$B$8,1,0))</x:f>
        <x:v>0</x:v>
      </x:c>
      <x:c r="T72" s="330" t="n">
        <x:f>IF(M72&gt;Thresholds!$C$9,2,IF(M72&gt;Thresholds!$B$9,1,0))</x:f>
        <x:v>1</x:v>
      </x:c>
      <x:c r="U72" s="330" t="n">
        <x:f>IF(N72&gt;Thresholds!$C$10,2,IF(N72&gt;Thresholds!$B$10,1,0))</x:f>
        <x:v>0</x:v>
      </x:c>
      <x:c r="V72" s="330" t="n">
        <x:f>IF(O72&gt;Thresholds!$C$11,2,IF(O72&gt;Thresholds!$B$11,1,0))</x:f>
        <x:v>2</x:v>
      </x:c>
      <x:c r="W72" s="330" t="n">
        <x:f>SUM(P72:V72)</x:f>
        <x:v>3</x:v>
      </x:c>
      <x:c r="X72" s="330" t="str">
        <x:f>IF(W72&gt;=Thresholds!$C$14,"Red",IF(W72&gt;=Thresholds!$B$14,"Yellow","Green"))</x:f>
        <x:v>Yellow</x:v>
      </x:c>
    </x:row>
    <x:row r="73">
      <x:c r="A73" s="330" t="str">
        <x:v>PRJ-071</x:v>
      </x:c>
      <x:c r="B73" s="330" t="str">
        <x:v>Mountain Gate Marketplace</x:v>
      </x:c>
      <x:c r="C73" s="330" t="str">
        <x:v>Commercial</x:v>
      </x:c>
      <x:c r="D73" s="330" t="str">
        <x:v>Design-Bid-Build</x:v>
      </x:c>
      <x:c r="E73" s="336" t="n">
        <x:v>113195000</x:v>
      </x:c>
      <x:c r="F73" s="330" t="n">
        <x:v>32</x:v>
      </x:c>
      <x:c r="G73" s="499" t="n">
        <x:v>10</x:v>
      </x:c>
      <x:c r="H73" s="338" t="n">
        <x:v>0.5714</x:v>
      </x:c>
      <x:c r="I73" s="338" t="n">
        <x:v>0.125</x:v>
      </x:c>
      <x:c r="J73" s="338" t="n">
        <x:v>0.031200000000000002</x:v>
      </x:c>
      <x:c r="K73" s="499" t="n">
        <x:v>17.88888888888889</x:v>
      </x:c>
      <x:c r="L73" s="336" t="n">
        <x:v>1105000</x:v>
      </x:c>
      <x:c r="M73" s="334" t="n">
        <x:v>0.00976</x:v>
      </x:c>
      <x:c r="N73" s="499" t="n">
        <x:v>5.333333333333333</x:v>
      </x:c>
      <x:c r="O73" s="338" t="n">
        <x:v>0</x:v>
      </x:c>
      <x:c r="P73" s="330" t="n">
        <x:f>IF(G73&gt;Thresholds!$C$5,2,IF(G73&gt;Thresholds!$B$5,1,0))</x:f>
        <x:v>0</x:v>
      </x:c>
      <x:c r="Q73" s="330" t="n">
        <x:f>IF(I73&gt;Thresholds!$C$6,2,IF(I73&gt;Thresholds!$B$6,1,0))</x:f>
        <x:v>0</x:v>
      </x:c>
      <x:c r="R73" s="330" t="n">
        <x:f>IF(J73&gt;Thresholds!$C$7,2,IF(J73&gt;Thresholds!$B$7,1,0))</x:f>
        <x:v>1</x:v>
      </x:c>
      <x:c r="S73" s="330" t="n">
        <x:f>IF(K73&gt;Thresholds!$C$8,2,IF(K73&gt;Thresholds!$B$8,1,0))</x:f>
        <x:v>0</x:v>
      </x:c>
      <x:c r="T73" s="330" t="n">
        <x:f>IF(M73&gt;Thresholds!$C$9,2,IF(M73&gt;Thresholds!$B$9,1,0))</x:f>
        <x:v>1</x:v>
      </x:c>
      <x:c r="U73" s="330" t="n">
        <x:f>IF(N73&gt;Thresholds!$C$10,2,IF(N73&gt;Thresholds!$B$10,1,0))</x:f>
        <x:v>1</x:v>
      </x:c>
      <x:c r="V73" s="330" t="n">
        <x:f>IF(O73&gt;Thresholds!$C$11,2,IF(O73&gt;Thresholds!$B$11,1,0))</x:f>
        <x:v>0</x:v>
      </x:c>
      <x:c r="W73" s="330" t="n">
        <x:f>SUM(P73:V73)</x:f>
        <x:v>3</x:v>
      </x:c>
      <x:c r="X73" s="330" t="str">
        <x:f>IF(W73&gt;=Thresholds!$C$14,"Red",IF(W73&gt;=Thresholds!$B$14,"Yellow","Green"))</x:f>
        <x:v>Yellow</x:v>
      </x:c>
    </x:row>
    <x:row r="74">
      <x:c r="A74" s="330" t="str">
        <x:v>PRJ-063</x:v>
      </x:c>
      <x:c r="B74" s="330" t="str">
        <x:v>Canyon Urban Village</x:v>
      </x:c>
      <x:c r="C74" s="330" t="str">
        <x:v>Mixed-Use</x:v>
      </x:c>
      <x:c r="D74" s="330" t="str">
        <x:v>Design-Build</x:v>
      </x:c>
      <x:c r="E74" s="336" t="n">
        <x:v>199081000</x:v>
      </x:c>
      <x:c r="F74" s="330" t="n">
        <x:v>39</x:v>
      </x:c>
      <x:c r="G74" s="499" t="n">
        <x:v>6.594594594594595</x:v>
      </x:c>
      <x:c r="H74" s="338" t="n">
        <x:v>0.8108</x:v>
      </x:c>
      <x:c r="I74" s="338" t="n">
        <x:v>0.0513</x:v>
      </x:c>
      <x:c r="J74" s="338" t="n">
        <x:v>0</x:v>
      </x:c>
      <x:c r="K74" s="499" t="n">
        <x:v>19.8</x:v>
      </x:c>
      <x:c r="L74" s="336" t="n">
        <x:v>1264000</x:v>
      </x:c>
      <x:c r="M74" s="334" t="n">
        <x:v>0.00635</x:v>
      </x:c>
      <x:c r="N74" s="499" t="n">
        <x:v>3.75</x:v>
      </x:c>
      <x:c r="O74" s="338" t="n">
        <x:v>0.2</x:v>
      </x:c>
      <x:c r="P74" s="330" t="n">
        <x:f>IF(G74&gt;Thresholds!$C$5,2,IF(G74&gt;Thresholds!$B$5,1,0))</x:f>
        <x:v>0</x:v>
      </x:c>
      <x:c r="Q74" s="330" t="n">
        <x:f>IF(I74&gt;Thresholds!$C$6,2,IF(I74&gt;Thresholds!$B$6,1,0))</x:f>
        <x:v>0</x:v>
      </x:c>
      <x:c r="R74" s="330" t="n">
        <x:f>IF(J74&gt;Thresholds!$C$7,2,IF(J74&gt;Thresholds!$B$7,1,0))</x:f>
        <x:v>0</x:v>
      </x:c>
      <x:c r="S74" s="330" t="n">
        <x:f>IF(K74&gt;Thresholds!$C$8,2,IF(K74&gt;Thresholds!$B$8,1,0))</x:f>
        <x:v>0</x:v>
      </x:c>
      <x:c r="T74" s="330" t="n">
        <x:f>IF(M74&gt;Thresholds!$C$9,2,IF(M74&gt;Thresholds!$B$9,1,0))</x:f>
        <x:v>1</x:v>
      </x:c>
      <x:c r="U74" s="330" t="n">
        <x:f>IF(N74&gt;Thresholds!$C$10,2,IF(N74&gt;Thresholds!$B$10,1,0))</x:f>
        <x:v>0</x:v>
      </x:c>
      <x:c r="V74" s="330" t="n">
        <x:f>IF(O74&gt;Thresholds!$C$11,2,IF(O74&gt;Thresholds!$B$11,1,0))</x:f>
        <x:v>2</x:v>
      </x:c>
      <x:c r="W74" s="330" t="n">
        <x:f>SUM(P74:V74)</x:f>
        <x:v>3</x:v>
      </x:c>
      <x:c r="X74" s="330" t="str">
        <x:f>IF(W74&gt;=Thresholds!$C$14,"Red",IF(W74&gt;=Thresholds!$B$14,"Yellow","Green"))</x:f>
        <x:v>Yellow</x:v>
      </x:c>
    </x:row>
    <x:row r="75">
      <x:c r="A75" s="330" t="str">
        <x:v>PRJ-038</x:v>
      </x:c>
      <x:c r="B75" s="330" t="str">
        <x:v>Northstar Neighborhood</x:v>
      </x:c>
      <x:c r="C75" s="330" t="str">
        <x:v>Residential</x:v>
      </x:c>
      <x:c r="D75" s="330" t="str">
        <x:v>Design-Bid-Build</x:v>
      </x:c>
      <x:c r="E75" s="336" t="n">
        <x:v>95451000</x:v>
      </x:c>
      <x:c r="F75" s="330" t="n">
        <x:v>24</x:v>
      </x:c>
      <x:c r="G75" s="499" t="n">
        <x:v>5.869565217391305</x:v>
      </x:c>
      <x:c r="H75" s="338" t="n">
        <x:v>0.8261</x:v>
      </x:c>
      <x:c r="I75" s="338" t="n">
        <x:v>0.0417</x:v>
      </x:c>
      <x:c r="J75" s="338" t="n">
        <x:v>0</x:v>
      </x:c>
      <x:c r="K75" s="499" t="n">
        <x:v>24.75</x:v>
      </x:c>
      <x:c r="L75" s="336" t="n">
        <x:v>326000</x:v>
      </x:c>
      <x:c r="M75" s="334" t="n">
        <x:v>0.0034200000000000003</x:v>
      </x:c>
      <x:c r="N75" s="499" t="n">
        <x:v>7.571428571428571</x:v>
      </x:c>
      <x:c r="O75" s="338" t="n">
        <x:v>0.125</x:v>
      </x:c>
      <x:c r="P75" s="330" t="n">
        <x:f>IF(G75&gt;Thresholds!$C$5,2,IF(G75&gt;Thresholds!$B$5,1,0))</x:f>
        <x:v>0</x:v>
      </x:c>
      <x:c r="Q75" s="330" t="n">
        <x:f>IF(I75&gt;Thresholds!$C$6,2,IF(I75&gt;Thresholds!$B$6,1,0))</x:f>
        <x:v>0</x:v>
      </x:c>
      <x:c r="R75" s="330" t="n">
        <x:f>IF(J75&gt;Thresholds!$C$7,2,IF(J75&gt;Thresholds!$B$7,1,0))</x:f>
        <x:v>0</x:v>
      </x:c>
      <x:c r="S75" s="330" t="n">
        <x:f>IF(K75&gt;Thresholds!$C$8,2,IF(K75&gt;Thresholds!$B$8,1,0))</x:f>
        <x:v>1</x:v>
      </x:c>
      <x:c r="T75" s="330" t="n">
        <x:f>IF(M75&gt;Thresholds!$C$9,2,IF(M75&gt;Thresholds!$B$9,1,0))</x:f>
        <x:v>0</x:v>
      </x:c>
      <x:c r="U75" s="330" t="n">
        <x:f>IF(N75&gt;Thresholds!$C$10,2,IF(N75&gt;Thresholds!$B$10,1,0))</x:f>
        <x:v>1</x:v>
      </x:c>
      <x:c r="V75" s="330" t="n">
        <x:f>IF(O75&gt;Thresholds!$C$11,2,IF(O75&gt;Thresholds!$B$11,1,0))</x:f>
        <x:v>1</x:v>
      </x:c>
      <x:c r="W75" s="330" t="n">
        <x:f>SUM(P75:V75)</x:f>
        <x:v>3</x:v>
      </x:c>
      <x:c r="X75" s="330" t="str">
        <x:f>IF(W75&gt;=Thresholds!$C$14,"Red",IF(W75&gt;=Thresholds!$B$14,"Yellow","Green"))</x:f>
        <x:v>Yellow</x:v>
      </x:c>
    </x:row>
    <x:row r="76">
      <x:c r="A76" s="330" t="str">
        <x:v>PRJ-024</x:v>
      </x:c>
      <x:c r="B76" s="330" t="str">
        <x:v>Pioneer Community College</x:v>
      </x:c>
      <x:c r="C76" s="330" t="str">
        <x:v>Institutional</x:v>
      </x:c>
      <x:c r="D76" s="330" t="str">
        <x:v>Design-Build</x:v>
      </x:c>
      <x:c r="E76" s="336" t="n">
        <x:v>75829000</x:v>
      </x:c>
      <x:c r="F76" s="330" t="n">
        <x:v>35</x:v>
      </x:c>
      <x:c r="G76" s="499" t="n">
        <x:v>14.314285714285715</x:v>
      </x:c>
      <x:c r="H76" s="338" t="n">
        <x:v>0.2</x:v>
      </x:c>
      <x:c r="I76" s="338" t="n">
        <x:v>0</x:v>
      </x:c>
      <x:c r="J76" s="338" t="n">
        <x:v>0</x:v>
      </x:c>
      <x:c r="K76" s="499" t="n">
        <x:v>27.833333333333332</x:v>
      </x:c>
      <x:c r="L76" s="336" t="n">
        <x:v>196000</x:v>
      </x:c>
      <x:c r="M76" s="334" t="n">
        <x:v>0.0025800000000000003</x:v>
      </x:c>
      <x:c r="N76" s="499" t="n">
        <x:v>6.583333333333333</x:v>
      </x:c>
      <x:c r="O76" s="338" t="n">
        <x:v>0</x:v>
      </x:c>
      <x:c r="P76" s="330" t="n">
        <x:f>IF(G76&gt;Thresholds!$C$5,2,IF(G76&gt;Thresholds!$B$5,1,0))</x:f>
        <x:v>1</x:v>
      </x:c>
      <x:c r="Q76" s="330" t="n">
        <x:f>IF(I76&gt;Thresholds!$C$6,2,IF(I76&gt;Thresholds!$B$6,1,0))</x:f>
        <x:v>0</x:v>
      </x:c>
      <x:c r="R76" s="330" t="n">
        <x:f>IF(J76&gt;Thresholds!$C$7,2,IF(J76&gt;Thresholds!$B$7,1,0))</x:f>
        <x:v>0</x:v>
      </x:c>
      <x:c r="S76" s="330" t="n">
        <x:f>IF(K76&gt;Thresholds!$C$8,2,IF(K76&gt;Thresholds!$B$8,1,0))</x:f>
        <x:v>1</x:v>
      </x:c>
      <x:c r="T76" s="330" t="n">
        <x:f>IF(M76&gt;Thresholds!$C$9,2,IF(M76&gt;Thresholds!$B$9,1,0))</x:f>
        <x:v>0</x:v>
      </x:c>
      <x:c r="U76" s="330" t="n">
        <x:f>IF(N76&gt;Thresholds!$C$10,2,IF(N76&gt;Thresholds!$B$10,1,0))</x:f>
        <x:v>1</x:v>
      </x:c>
      <x:c r="V76" s="330" t="n">
        <x:f>IF(O76&gt;Thresholds!$C$11,2,IF(O76&gt;Thresholds!$B$11,1,0))</x:f>
        <x:v>0</x:v>
      </x:c>
      <x:c r="W76" s="330" t="n">
        <x:f>SUM(P76:V76)</x:f>
        <x:v>3</x:v>
      </x:c>
      <x:c r="X76" s="330" t="str">
        <x:f>IF(W76&gt;=Thresholds!$C$14,"Red",IF(W76&gt;=Thresholds!$B$14,"Yellow","Green"))</x:f>
        <x:v>Yellow</x:v>
      </x:c>
    </x:row>
    <x:row r="77">
      <x:c r="A77" s="330" t="str">
        <x:v>PRJ-037</x:v>
      </x:c>
      <x:c r="B77" s="330" t="str">
        <x:v>Vista Civic Complex</x:v>
      </x:c>
      <x:c r="C77" s="330" t="str">
        <x:v>Institutional</x:v>
      </x:c>
      <x:c r="D77" s="330" t="str">
        <x:v>Design-Bid-Build</x:v>
      </x:c>
      <x:c r="E77" s="336" t="n">
        <x:v>92832000</x:v>
      </x:c>
      <x:c r="F77" s="330" t="n">
        <x:v>35</x:v>
      </x:c>
      <x:c r="G77" s="499" t="n">
        <x:v>11.969696969696969</x:v>
      </x:c>
      <x:c r="H77" s="338" t="n">
        <x:v>0.48479999999999995</x:v>
      </x:c>
      <x:c r="I77" s="338" t="n">
        <x:v>0.0571</x:v>
      </x:c>
      <x:c r="J77" s="338" t="n">
        <x:v>0.0286</x:v>
      </x:c>
      <x:c r="K77" s="499" t="n">
        <x:v>34.142857142857146</x:v>
      </x:c>
      <x:c r="L77" s="336" t="n">
        <x:v>213000</x:v>
      </x:c>
      <x:c r="M77" s="334" t="n">
        <x:v>0.00229</x:v>
      </x:c>
      <x:c r="N77" s="499" t="n">
        <x:v>4</x:v>
      </x:c>
      <x:c r="O77" s="338" t="n">
        <x:v>0</x:v>
      </x:c>
      <x:c r="P77" s="330" t="n">
        <x:f>IF(G77&gt;Thresholds!$C$5,2,IF(G77&gt;Thresholds!$B$5,1,0))</x:f>
        <x:v>1</x:v>
      </x:c>
      <x:c r="Q77" s="330" t="n">
        <x:f>IF(I77&gt;Thresholds!$C$6,2,IF(I77&gt;Thresholds!$B$6,1,0))</x:f>
        <x:v>0</x:v>
      </x:c>
      <x:c r="R77" s="330" t="n">
        <x:f>IF(J77&gt;Thresholds!$C$7,2,IF(J77&gt;Thresholds!$B$7,1,0))</x:f>
        <x:v>1</x:v>
      </x:c>
      <x:c r="S77" s="330" t="n">
        <x:f>IF(K77&gt;Thresholds!$C$8,2,IF(K77&gt;Thresholds!$B$8,1,0))</x:f>
        <x:v>1</x:v>
      </x:c>
      <x:c r="T77" s="330" t="n">
        <x:f>IF(M77&gt;Thresholds!$C$9,2,IF(M77&gt;Thresholds!$B$9,1,0))</x:f>
        <x:v>0</x:v>
      </x:c>
      <x:c r="U77" s="330" t="n">
        <x:f>IF(N77&gt;Thresholds!$C$10,2,IF(N77&gt;Thresholds!$B$10,1,0))</x:f>
        <x:v>0</x:v>
      </x:c>
      <x:c r="V77" s="330" t="n">
        <x:f>IF(O77&gt;Thresholds!$C$11,2,IF(O77&gt;Thresholds!$B$11,1,0))</x:f>
        <x:v>0</x:v>
      </x:c>
      <x:c r="W77" s="330" t="n">
        <x:f>SUM(P77:V77)</x:f>
        <x:v>3</x:v>
      </x:c>
      <x:c r="X77" s="330" t="str">
        <x:f>IF(W77&gt;=Thresholds!$C$14,"Red",IF(W77&gt;=Thresholds!$B$14,"Yellow","Green"))</x:f>
        <x:v>Yellow</x:v>
      </x:c>
    </x:row>
    <x:row r="78">
      <x:c r="A78" s="330" t="str">
        <x:v>PRJ-069</x:v>
      </x:c>
      <x:c r="B78" s="330" t="str">
        <x:v>Granite Medical Pavilion</x:v>
      </x:c>
      <x:c r="C78" s="330" t="str">
        <x:v>Institutional</x:v>
      </x:c>
      <x:c r="D78" s="330" t="str">
        <x:v>CMAR</x:v>
      </x:c>
      <x:c r="E78" s="336" t="n">
        <x:v>25315000</x:v>
      </x:c>
      <x:c r="F78" s="330" t="n">
        <x:v>27</x:v>
      </x:c>
      <x:c r="G78" s="499" t="n">
        <x:v>12.84</x:v>
      </x:c>
      <x:c r="H78" s="338" t="n">
        <x:v>0.52</x:v>
      </x:c>
      <x:c r="I78" s="338" t="n">
        <x:v>0.0741</x:v>
      </x:c>
      <x:c r="J78" s="338" t="n">
        <x:v>0</x:v>
      </x:c>
      <x:c r="K78" s="499" t="n">
        <x:v>28.666666666666668</x:v>
      </x:c>
      <x:c r="L78" s="336" t="n">
        <x:v>50000</x:v>
      </x:c>
      <x:c r="M78" s="334" t="n">
        <x:v>0.00198</x:v>
      </x:c>
      <x:c r="N78" s="499" t="n">
        <x:v>7.166666666666667</x:v>
      </x:c>
      <x:c r="O78" s="338" t="n">
        <x:v>0</x:v>
      </x:c>
      <x:c r="P78" s="330" t="n">
        <x:f>IF(G78&gt;Thresholds!$C$5,2,IF(G78&gt;Thresholds!$B$5,1,0))</x:f>
        <x:v>1</x:v>
      </x:c>
      <x:c r="Q78" s="330" t="n">
        <x:f>IF(I78&gt;Thresholds!$C$6,2,IF(I78&gt;Thresholds!$B$6,1,0))</x:f>
        <x:v>0</x:v>
      </x:c>
      <x:c r="R78" s="330" t="n">
        <x:f>IF(J78&gt;Thresholds!$C$7,2,IF(J78&gt;Thresholds!$B$7,1,0))</x:f>
        <x:v>0</x:v>
      </x:c>
      <x:c r="S78" s="330" t="n">
        <x:f>IF(K78&gt;Thresholds!$C$8,2,IF(K78&gt;Thresholds!$B$8,1,0))</x:f>
        <x:v>1</x:v>
      </x:c>
      <x:c r="T78" s="330" t="n">
        <x:f>IF(M78&gt;Thresholds!$C$9,2,IF(M78&gt;Thresholds!$B$9,1,0))</x:f>
        <x:v>0</x:v>
      </x:c>
      <x:c r="U78" s="330" t="n">
        <x:f>IF(N78&gt;Thresholds!$C$10,2,IF(N78&gt;Thresholds!$B$10,1,0))</x:f>
        <x:v>1</x:v>
      </x:c>
      <x:c r="V78" s="330" t="n">
        <x:f>IF(O78&gt;Thresholds!$C$11,2,IF(O78&gt;Thresholds!$B$11,1,0))</x:f>
        <x:v>0</x:v>
      </x:c>
      <x:c r="W78" s="330" t="n">
        <x:f>SUM(P78:V78)</x:f>
        <x:v>3</x:v>
      </x:c>
      <x:c r="X78" s="330" t="str">
        <x:f>IF(W78&gt;=Thresholds!$C$14,"Red",IF(W78&gt;=Thresholds!$B$14,"Yellow","Green"))</x:f>
        <x:v>Yellow</x:v>
      </x:c>
    </x:row>
    <x:row r="79">
      <x:c r="A79" s="330" t="str">
        <x:v>PRJ-014</x:v>
      </x:c>
      <x:c r="B79" s="330" t="str">
        <x:v>Riverbend Retail Pavilion</x:v>
      </x:c>
      <x:c r="C79" s="330" t="str">
        <x:v>Commercial</x:v>
      </x:c>
      <x:c r="D79" s="330" t="str">
        <x:v>Design-Bid-Build</x:v>
      </x:c>
      <x:c r="E79" s="336" t="n">
        <x:v>104424000</x:v>
      </x:c>
      <x:c r="F79" s="330" t="n">
        <x:v>26</x:v>
      </x:c>
      <x:c r="G79" s="499" t="n">
        <x:v>10.4</x:v>
      </x:c>
      <x:c r="H79" s="338" t="n">
        <x:v>0.56</x:v>
      </x:c>
      <x:c r="I79" s="338" t="n">
        <x:v>0.0385</x:v>
      </x:c>
      <x:c r="J79" s="338" t="n">
        <x:v>0</x:v>
      </x:c>
      <x:c r="K79" s="499" t="n">
        <x:v>28.5</x:v>
      </x:c>
      <x:c r="L79" s="336" t="n">
        <x:v>0</x:v>
      </x:c>
      <x:c r="M79" s="334" t="n">
        <x:v>0</x:v>
      </x:c>
      <x:c r="N79" s="499" t="n">
        <x:v>6.5</x:v>
      </x:c>
      <x:c r="O79" s="338" t="n">
        <x:v>0</x:v>
      </x:c>
      <x:c r="P79" s="330" t="n">
        <x:f>IF(G79&gt;Thresholds!$C$5,2,IF(G79&gt;Thresholds!$B$5,1,0))</x:f>
        <x:v>1</x:v>
      </x:c>
      <x:c r="Q79" s="330" t="n">
        <x:f>IF(I79&gt;Thresholds!$C$6,2,IF(I79&gt;Thresholds!$B$6,1,0))</x:f>
        <x:v>0</x:v>
      </x:c>
      <x:c r="R79" s="330" t="n">
        <x:f>IF(J79&gt;Thresholds!$C$7,2,IF(J79&gt;Thresholds!$B$7,1,0))</x:f>
        <x:v>0</x:v>
      </x:c>
      <x:c r="S79" s="330" t="n">
        <x:f>IF(K79&gt;Thresholds!$C$8,2,IF(K79&gt;Thresholds!$B$8,1,0))</x:f>
        <x:v>1</x:v>
      </x:c>
      <x:c r="T79" s="330" t="n">
        <x:f>IF(M79&gt;Thresholds!$C$9,2,IF(M79&gt;Thresholds!$B$9,1,0))</x:f>
        <x:v>0</x:v>
      </x:c>
      <x:c r="U79" s="330" t="n">
        <x:f>IF(N79&gt;Thresholds!$C$10,2,IF(N79&gt;Thresholds!$B$10,1,0))</x:f>
        <x:v>1</x:v>
      </x:c>
      <x:c r="V79" s="330" t="n">
        <x:f>IF(O79&gt;Thresholds!$C$11,2,IF(O79&gt;Thresholds!$B$11,1,0))</x:f>
        <x:v>0</x:v>
      </x:c>
      <x:c r="W79" s="330" t="n">
        <x:f>SUM(P79:V79)</x:f>
        <x:v>3</x:v>
      </x:c>
      <x:c r="X79" s="330" t="str">
        <x:f>IF(W79&gt;=Thresholds!$C$14,"Red",IF(W79&gt;=Thresholds!$B$14,"Yellow","Green"))</x:f>
        <x:v>Yellow</x:v>
      </x:c>
    </x:row>
    <x:row r="80">
      <x:c r="A80" s="330" t="str">
        <x:v>PRJ-010</x:v>
      </x:c>
      <x:c r="B80" s="330" t="str">
        <x:v>Canyon Neighborhood</x:v>
      </x:c>
      <x:c r="C80" s="330" t="str">
        <x:v>Residential</x:v>
      </x:c>
      <x:c r="D80" s="330" t="str">
        <x:v>Design-Build</x:v>
      </x:c>
      <x:c r="E80" s="336" t="n">
        <x:v>35406000</x:v>
      </x:c>
      <x:c r="F80" s="330" t="n">
        <x:v>27</x:v>
      </x:c>
      <x:c r="G80" s="499" t="n">
        <x:v>10.692307692307692</x:v>
      </x:c>
      <x:c r="H80" s="338" t="n">
        <x:v>0.6154</x:v>
      </x:c>
      <x:c r="I80" s="338" t="n">
        <x:v>0.037000000000000005</x:v>
      </x:c>
      <x:c r="J80" s="338" t="n">
        <x:v>0</x:v>
      </x:c>
      <x:c r="K80" s="499" t="n">
        <x:v>32.5</x:v>
      </x:c>
      <x:c r="L80" s="336" t="n">
        <x:v>0</x:v>
      </x:c>
      <x:c r="M80" s="334" t="n">
        <x:v>0</x:v>
      </x:c>
      <x:c r="N80" s="499" t="n">
        <x:v>5</x:v>
      </x:c>
      <x:c r="O80" s="338" t="n">
        <x:v>0.1</x:v>
      </x:c>
      <x:c r="P80" s="330" t="n">
        <x:f>IF(G80&gt;Thresholds!$C$5,2,IF(G80&gt;Thresholds!$B$5,1,0))</x:f>
        <x:v>1</x:v>
      </x:c>
      <x:c r="Q80" s="330" t="n">
        <x:f>IF(I80&gt;Thresholds!$C$6,2,IF(I80&gt;Thresholds!$B$6,1,0))</x:f>
        <x:v>0</x:v>
      </x:c>
      <x:c r="R80" s="330" t="n">
        <x:f>IF(J80&gt;Thresholds!$C$7,2,IF(J80&gt;Thresholds!$B$7,1,0))</x:f>
        <x:v>0</x:v>
      </x:c>
      <x:c r="S80" s="330" t="n">
        <x:f>IF(K80&gt;Thresholds!$C$8,2,IF(K80&gt;Thresholds!$B$8,1,0))</x:f>
        <x:v>1</x:v>
      </x:c>
      <x:c r="T80" s="330" t="n">
        <x:f>IF(M80&gt;Thresholds!$C$9,2,IF(M80&gt;Thresholds!$B$9,1,0))</x:f>
        <x:v>0</x:v>
      </x:c>
      <x:c r="U80" s="330" t="n">
        <x:f>IF(N80&gt;Thresholds!$C$10,2,IF(N80&gt;Thresholds!$B$10,1,0))</x:f>
        <x:v>0</x:v>
      </x:c>
      <x:c r="V80" s="330" t="n">
        <x:f>IF(O80&gt;Thresholds!$C$11,2,IF(O80&gt;Thresholds!$B$11,1,0))</x:f>
        <x:v>1</x:v>
      </x:c>
      <x:c r="W80" s="330" t="n">
        <x:f>SUM(P80:V80)</x:f>
        <x:v>3</x:v>
      </x:c>
      <x:c r="X80" s="330" t="str">
        <x:f>IF(W80&gt;=Thresholds!$C$14,"Red",IF(W80&gt;=Thresholds!$B$14,"Yellow","Green"))</x:f>
        <x:v>Yellow</x:v>
      </x:c>
    </x:row>
    <x:row r="81">
      <x:c r="A81" s="330" t="str">
        <x:v>PRJ-001</x:v>
      </x:c>
      <x:c r="B81" s="330" t="str">
        <x:v>Red Rock Town Center</x:v>
      </x:c>
      <x:c r="C81" s="330" t="str">
        <x:v>Mixed-Use</x:v>
      </x:c>
      <x:c r="D81" s="330" t="str">
        <x:v>CMAR</x:v>
      </x:c>
      <x:c r="E81" s="336" t="n">
        <x:v>330355000</x:v>
      </x:c>
      <x:c r="F81" s="330" t="n">
        <x:v>29</x:v>
      </x:c>
      <x:c r="G81" s="499" t="n">
        <x:v>6.75</x:v>
      </x:c>
      <x:c r="H81" s="338" t="n">
        <x:v>0.7857</x:v>
      </x:c>
      <x:c r="I81" s="338" t="n">
        <x:v>0.0345</x:v>
      </x:c>
      <x:c r="J81" s="338" t="n">
        <x:v>0</x:v>
      </x:c>
      <x:c r="K81" s="499" t="n">
        <x:v>12.785714285714286</x:v>
      </x:c>
      <x:c r="L81" s="336" t="n">
        <x:v>0</x:v>
      </x:c>
      <x:c r="M81" s="334" t="n">
        <x:v>0</x:v>
      </x:c>
      <x:c r="N81" s="499" t="n">
        <x:v>5.8</x:v>
      </x:c>
      <x:c r="O81" s="338" t="n">
        <x:v>0.2857</x:v>
      </x:c>
      <x:c r="P81" s="330" t="n">
        <x:f>IF(G81&gt;Thresholds!$C$5,2,IF(G81&gt;Thresholds!$B$5,1,0))</x:f>
        <x:v>0</x:v>
      </x:c>
      <x:c r="Q81" s="330" t="n">
        <x:f>IF(I81&gt;Thresholds!$C$6,2,IF(I81&gt;Thresholds!$B$6,1,0))</x:f>
        <x:v>0</x:v>
      </x:c>
      <x:c r="R81" s="330" t="n">
        <x:f>IF(J81&gt;Thresholds!$C$7,2,IF(J81&gt;Thresholds!$B$7,1,0))</x:f>
        <x:v>0</x:v>
      </x:c>
      <x:c r="S81" s="330" t="n">
        <x:f>IF(K81&gt;Thresholds!$C$8,2,IF(K81&gt;Thresholds!$B$8,1,0))</x:f>
        <x:v>0</x:v>
      </x:c>
      <x:c r="T81" s="330" t="n">
        <x:f>IF(M81&gt;Thresholds!$C$9,2,IF(M81&gt;Thresholds!$B$9,1,0))</x:f>
        <x:v>0</x:v>
      </x:c>
      <x:c r="U81" s="330" t="n">
        <x:f>IF(N81&gt;Thresholds!$C$10,2,IF(N81&gt;Thresholds!$B$10,1,0))</x:f>
        <x:v>1</x:v>
      </x:c>
      <x:c r="V81" s="330" t="n">
        <x:f>IF(O81&gt;Thresholds!$C$11,2,IF(O81&gt;Thresholds!$B$11,1,0))</x:f>
        <x:v>2</x:v>
      </x:c>
      <x:c r="W81" s="330" t="n">
        <x:f>SUM(P81:V81)</x:f>
        <x:v>3</x:v>
      </x:c>
      <x:c r="X81" s="330" t="str">
        <x:f>IF(W81&gt;=Thresholds!$C$14,"Red",IF(W81&gt;=Thresholds!$B$14,"Yellow","Green"))</x:f>
        <x:v>Yellow</x:v>
      </x:c>
    </x:row>
    <x:row r="82">
      <x:c r="A82" s="330" t="str">
        <x:v>PRJ-007</x:v>
      </x:c>
      <x:c r="B82" s="330" t="str">
        <x:v>Canyon Medical Pavilion</x:v>
      </x:c>
      <x:c r="C82" s="330" t="str">
        <x:v>Institutional</x:v>
      </x:c>
      <x:c r="D82" s="330" t="str">
        <x:v>Design-Build</x:v>
      </x:c>
      <x:c r="E82" s="336" t="n">
        <x:v>43072000</x:v>
      </x:c>
      <x:c r="F82" s="330" t="n">
        <x:v>38</x:v>
      </x:c>
      <x:c r="G82" s="499" t="n">
        <x:v>11.61111111111111</x:v>
      </x:c>
      <x:c r="H82" s="338" t="n">
        <x:v>0.4722</x:v>
      </x:c>
      <x:c r="I82" s="338" t="n">
        <x:v>0.0263</x:v>
      </x:c>
      <x:c r="J82" s="338" t="n">
        <x:v>0</x:v>
      </x:c>
      <x:c r="K82" s="499" t="n">
        <x:v>26.11111111111111</x:v>
      </x:c>
      <x:c r="L82" s="336" t="n">
        <x:v>0</x:v>
      </x:c>
      <x:c r="M82" s="334" t="n">
        <x:v>0</x:v>
      </x:c>
      <x:c r="N82" s="499" t="n">
        <x:v>9.11111111111111</x:v>
      </x:c>
      <x:c r="O82" s="338" t="n">
        <x:v>0</x:v>
      </x:c>
      <x:c r="P82" s="330" t="n">
        <x:f>IF(G82&gt;Thresholds!$C$5,2,IF(G82&gt;Thresholds!$B$5,1,0))</x:f>
        <x:v>1</x:v>
      </x:c>
      <x:c r="Q82" s="330" t="n">
        <x:f>IF(I82&gt;Thresholds!$C$6,2,IF(I82&gt;Thresholds!$B$6,1,0))</x:f>
        <x:v>0</x:v>
      </x:c>
      <x:c r="R82" s="330" t="n">
        <x:f>IF(J82&gt;Thresholds!$C$7,2,IF(J82&gt;Thresholds!$B$7,1,0))</x:f>
        <x:v>0</x:v>
      </x:c>
      <x:c r="S82" s="330" t="n">
        <x:f>IF(K82&gt;Thresholds!$C$8,2,IF(K82&gt;Thresholds!$B$8,1,0))</x:f>
        <x:v>1</x:v>
      </x:c>
      <x:c r="T82" s="330" t="n">
        <x:f>IF(M82&gt;Thresholds!$C$9,2,IF(M82&gt;Thresholds!$B$9,1,0))</x:f>
        <x:v>0</x:v>
      </x:c>
      <x:c r="U82" s="330" t="n">
        <x:f>IF(N82&gt;Thresholds!$C$10,2,IF(N82&gt;Thresholds!$B$10,1,0))</x:f>
        <x:v>1</x:v>
      </x:c>
      <x:c r="V82" s="330" t="n">
        <x:f>IF(O82&gt;Thresholds!$C$11,2,IF(O82&gt;Thresholds!$B$11,1,0))</x:f>
        <x:v>0</x:v>
      </x:c>
      <x:c r="W82" s="330" t="n">
        <x:f>SUM(P82:V82)</x:f>
        <x:v>3</x:v>
      </x:c>
      <x:c r="X82" s="330" t="str">
        <x:f>IF(W82&gt;=Thresholds!$C$14,"Red",IF(W82&gt;=Thresholds!$B$14,"Yellow","Green"))</x:f>
        <x:v>Yellow</x:v>
      </x:c>
    </x:row>
    <x:row r="83">
      <x:c r="A83" s="330" t="str">
        <x:v>PRJ-041</x:v>
      </x:c>
      <x:c r="B83" s="330" t="str">
        <x:v>Riverbend Transit-Oriented Development</x:v>
      </x:c>
      <x:c r="C83" s="330" t="str">
        <x:v>Mixed-Use</x:v>
      </x:c>
      <x:c r="D83" s="330" t="str">
        <x:v>CMAR</x:v>
      </x:c>
      <x:c r="E83" s="336" t="n">
        <x:v>260515000</x:v>
      </x:c>
      <x:c r="F83" s="330" t="n">
        <x:v>28</x:v>
      </x:c>
      <x:c r="G83" s="499" t="n">
        <x:v>7.1923076923076925</x:v>
      </x:c>
      <x:c r="H83" s="338" t="n">
        <x:v>0.6923</x:v>
      </x:c>
      <x:c r="I83" s="338" t="n">
        <x:v>0.07139999999999999</x:v>
      </x:c>
      <x:c r="J83" s="338" t="n">
        <x:v>0</x:v>
      </x:c>
      <x:c r="K83" s="499" t="n">
        <x:v>19.333333333333332</x:v>
      </x:c>
      <x:c r="L83" s="336" t="n">
        <x:v>4507000</x:v>
      </x:c>
      <x:c r="M83" s="334" t="n">
        <x:v>0.0173</x:v>
      </x:c>
      <x:c r="N83" s="499" t="n">
        <x:v>3.8333333333333335</x:v>
      </x:c>
      <x:c r="O83" s="338" t="n">
        <x:v>0</x:v>
      </x:c>
      <x:c r="P83" s="330" t="n">
        <x:f>IF(G83&gt;Thresholds!$C$5,2,IF(G83&gt;Thresholds!$B$5,1,0))</x:f>
        <x:v>0</x:v>
      </x:c>
      <x:c r="Q83" s="330" t="n">
        <x:f>IF(I83&gt;Thresholds!$C$6,2,IF(I83&gt;Thresholds!$B$6,1,0))</x:f>
        <x:v>0</x:v>
      </x:c>
      <x:c r="R83" s="330" t="n">
        <x:f>IF(J83&gt;Thresholds!$C$7,2,IF(J83&gt;Thresholds!$B$7,1,0))</x:f>
        <x:v>0</x:v>
      </x:c>
      <x:c r="S83" s="330" t="n">
        <x:f>IF(K83&gt;Thresholds!$C$8,2,IF(K83&gt;Thresholds!$B$8,1,0))</x:f>
        <x:v>0</x:v>
      </x:c>
      <x:c r="T83" s="330" t="n">
        <x:f>IF(M83&gt;Thresholds!$C$9,2,IF(M83&gt;Thresholds!$B$9,1,0))</x:f>
        <x:v>2</x:v>
      </x:c>
      <x:c r="U83" s="330" t="n">
        <x:f>IF(N83&gt;Thresholds!$C$10,2,IF(N83&gt;Thresholds!$B$10,1,0))</x:f>
        <x:v>0</x:v>
      </x:c>
      <x:c r="V83" s="330" t="n">
        <x:f>IF(O83&gt;Thresholds!$C$11,2,IF(O83&gt;Thresholds!$B$11,1,0))</x:f>
        <x:v>0</x:v>
      </x:c>
      <x:c r="W83" s="330" t="n">
        <x:f>SUM(P83:V83)</x:f>
        <x:v>2</x:v>
      </x:c>
      <x:c r="X83" s="330" t="str">
        <x:f>IF(W83&gt;=Thresholds!$C$14,"Red",IF(W83&gt;=Thresholds!$B$14,"Yellow","Green"))</x:f>
        <x:v>Green</x:v>
      </x:c>
    </x:row>
    <x:row r="84">
      <x:c r="A84" s="330" t="str">
        <x:v>PRJ-028</x:v>
      </x:c>
      <x:c r="B84" s="330" t="str">
        <x:v>Canyon Bridge Rehabilitation</x:v>
      </x:c>
      <x:c r="C84" s="330" t="str">
        <x:v>Heavy Civil &amp; Infrastructure</x:v>
      </x:c>
      <x:c r="D84" s="330" t="str">
        <x:v>CMAR</x:v>
      </x:c>
      <x:c r="E84" s="336" t="n">
        <x:v>73292000</x:v>
      </x:c>
      <x:c r="F84" s="330" t="n">
        <x:v>28</x:v>
      </x:c>
      <x:c r="G84" s="499" t="n">
        <x:v>12.884615384615385</x:v>
      </x:c>
      <x:c r="H84" s="338" t="n">
        <x:v>0.42310000000000003</x:v>
      </x:c>
      <x:c r="I84" s="338" t="n">
        <x:v>0.07139999999999999</x:v>
      </x:c>
      <x:c r="J84" s="338" t="n">
        <x:v>0</x:v>
      </x:c>
      <x:c r="K84" s="499" t="n">
        <x:v>19</x:v>
      </x:c>
      <x:c r="L84" s="336" t="n">
        <x:v>959000</x:v>
      </x:c>
      <x:c r="M84" s="334" t="n">
        <x:v>0.013080000000000001</x:v>
      </x:c>
      <x:c r="N84" s="499" t="n">
        <x:v>4.25</x:v>
      </x:c>
      <x:c r="O84" s="338" t="n">
        <x:v>0</x:v>
      </x:c>
      <x:c r="P84" s="330" t="n">
        <x:f>IF(G84&gt;Thresholds!$C$5,2,IF(G84&gt;Thresholds!$B$5,1,0))</x:f>
        <x:v>1</x:v>
      </x:c>
      <x:c r="Q84" s="330" t="n">
        <x:f>IF(I84&gt;Thresholds!$C$6,2,IF(I84&gt;Thresholds!$B$6,1,0))</x:f>
        <x:v>0</x:v>
      </x:c>
      <x:c r="R84" s="330" t="n">
        <x:f>IF(J84&gt;Thresholds!$C$7,2,IF(J84&gt;Thresholds!$B$7,1,0))</x:f>
        <x:v>0</x:v>
      </x:c>
      <x:c r="S84" s="330" t="n">
        <x:f>IF(K84&gt;Thresholds!$C$8,2,IF(K84&gt;Thresholds!$B$8,1,0))</x:f>
        <x:v>0</x:v>
      </x:c>
      <x:c r="T84" s="330" t="n">
        <x:f>IF(M84&gt;Thresholds!$C$9,2,IF(M84&gt;Thresholds!$B$9,1,0))</x:f>
        <x:v>1</x:v>
      </x:c>
      <x:c r="U84" s="330" t="n">
        <x:f>IF(N84&gt;Thresholds!$C$10,2,IF(N84&gt;Thresholds!$B$10,1,0))</x:f>
        <x:v>0</x:v>
      </x:c>
      <x:c r="V84" s="330" t="n">
        <x:f>IF(O84&gt;Thresholds!$C$11,2,IF(O84&gt;Thresholds!$B$11,1,0))</x:f>
        <x:v>0</x:v>
      </x:c>
      <x:c r="W84" s="330" t="n">
        <x:f>SUM(P84:V84)</x:f>
        <x:v>2</x:v>
      </x:c>
      <x:c r="X84" s="330" t="str">
        <x:f>IF(W84&gt;=Thresholds!$C$14,"Red",IF(W84&gt;=Thresholds!$B$14,"Yellow","Green"))</x:f>
        <x:v>Green</x:v>
      </x:c>
    </x:row>
    <x:row r="85">
      <x:c r="A85" s="330" t="str">
        <x:v>PRJ-066</x:v>
      </x:c>
      <x:c r="B85" s="330" t="str">
        <x:v>Liberty Civic Complex</x:v>
      </x:c>
      <x:c r="C85" s="330" t="str">
        <x:v>Institutional</x:v>
      </x:c>
      <x:c r="D85" s="330" t="str">
        <x:v>CMAR</x:v>
      </x:c>
      <x:c r="E85" s="336" t="n">
        <x:v>172986000</x:v>
      </x:c>
      <x:c r="F85" s="330" t="n">
        <x:v>35</x:v>
      </x:c>
      <x:c r="G85" s="499" t="n">
        <x:v>6.71875</x:v>
      </x:c>
      <x:c r="H85" s="338" t="n">
        <x:v>0.5938</x:v>
      </x:c>
      <x:c r="I85" s="338" t="n">
        <x:v>0.0857</x:v>
      </x:c>
      <x:c r="J85" s="338" t="n">
        <x:v>0.0286</x:v>
      </x:c>
      <x:c r="K85" s="499" t="n">
        <x:v>17.2</x:v>
      </x:c>
      <x:c r="L85" s="336" t="n">
        <x:v>399000</x:v>
      </x:c>
      <x:c r="M85" s="334" t="n">
        <x:v>0.00231</x:v>
      </x:c>
      <x:c r="N85" s="499" t="n">
        <x:v>9.8</x:v>
      </x:c>
      <x:c r="O85" s="338" t="n">
        <x:v>0</x:v>
      </x:c>
      <x:c r="P85" s="330" t="n">
        <x:f>IF(G85&gt;Thresholds!$C$5,2,IF(G85&gt;Thresholds!$B$5,1,0))</x:f>
        <x:v>0</x:v>
      </x:c>
      <x:c r="Q85" s="330" t="n">
        <x:f>IF(I85&gt;Thresholds!$C$6,2,IF(I85&gt;Thresholds!$B$6,1,0))</x:f>
        <x:v>0</x:v>
      </x:c>
      <x:c r="R85" s="330" t="n">
        <x:f>IF(J85&gt;Thresholds!$C$7,2,IF(J85&gt;Thresholds!$B$7,1,0))</x:f>
        <x:v>1</x:v>
      </x:c>
      <x:c r="S85" s="330" t="n">
        <x:f>IF(K85&gt;Thresholds!$C$8,2,IF(K85&gt;Thresholds!$B$8,1,0))</x:f>
        <x:v>0</x:v>
      </x:c>
      <x:c r="T85" s="330" t="n">
        <x:f>IF(M85&gt;Thresholds!$C$9,2,IF(M85&gt;Thresholds!$B$9,1,0))</x:f>
        <x:v>0</x:v>
      </x:c>
      <x:c r="U85" s="330" t="n">
        <x:f>IF(N85&gt;Thresholds!$C$10,2,IF(N85&gt;Thresholds!$B$10,1,0))</x:f>
        <x:v>1</x:v>
      </x:c>
      <x:c r="V85" s="330" t="n">
        <x:f>IF(O85&gt;Thresholds!$C$11,2,IF(O85&gt;Thresholds!$B$11,1,0))</x:f>
        <x:v>0</x:v>
      </x:c>
      <x:c r="W85" s="330" t="n">
        <x:f>SUM(P85:V85)</x:f>
        <x:v>2</x:v>
      </x:c>
      <x:c r="X85" s="330" t="str">
        <x:f>IF(W85&gt;=Thresholds!$C$14,"Red",IF(W85&gt;=Thresholds!$B$14,"Yellow","Green"))</x:f>
        <x:v>Green</x:v>
      </x:c>
    </x:row>
    <x:row r="86">
      <x:c r="A86" s="330" t="str">
        <x:v>PRJ-062</x:v>
      </x:c>
      <x:c r="B86" s="330" t="str">
        <x:v>Copper Ridge Housing Community</x:v>
      </x:c>
      <x:c r="C86" s="330" t="str">
        <x:v>Residential</x:v>
      </x:c>
      <x:c r="D86" s="330" t="str">
        <x:v>Design-Bid-Build</x:v>
      </x:c>
      <x:c r="E86" s="336" t="n">
        <x:v>15016000</x:v>
      </x:c>
      <x:c r="F86" s="330" t="n">
        <x:v>30</x:v>
      </x:c>
      <x:c r="G86" s="499" t="n">
        <x:v>7.172413793103448</x:v>
      </x:c>
      <x:c r="H86" s="338" t="n">
        <x:v>0.7931</x:v>
      </x:c>
      <x:c r="I86" s="338" t="n">
        <x:v>0.0333</x:v>
      </x:c>
      <x:c r="J86" s="338" t="n">
        <x:v>0</x:v>
      </x:c>
      <x:c r="K86" s="499" t="n">
        <x:v>14.777777777777779</x:v>
      </x:c>
      <x:c r="L86" s="336" t="n">
        <x:v>34200</x:v>
      </x:c>
      <x:c r="M86" s="334" t="n">
        <x:v>0.00228</x:v>
      </x:c>
      <x:c r="N86" s="499" t="n">
        <x:v>7.125</x:v>
      </x:c>
      <x:c r="O86" s="338" t="n">
        <x:v>0.11109999999999999</x:v>
      </x:c>
      <x:c r="P86" s="330" t="n">
        <x:f>IF(G86&gt;Thresholds!$C$5,2,IF(G86&gt;Thresholds!$B$5,1,0))</x:f>
        <x:v>0</x:v>
      </x:c>
      <x:c r="Q86" s="330" t="n">
        <x:f>IF(I86&gt;Thresholds!$C$6,2,IF(I86&gt;Thresholds!$B$6,1,0))</x:f>
        <x:v>0</x:v>
      </x:c>
      <x:c r="R86" s="330" t="n">
        <x:f>IF(J86&gt;Thresholds!$C$7,2,IF(J86&gt;Thresholds!$B$7,1,0))</x:f>
        <x:v>0</x:v>
      </x:c>
      <x:c r="S86" s="330" t="n">
        <x:f>IF(K86&gt;Thresholds!$C$8,2,IF(K86&gt;Thresholds!$B$8,1,0))</x:f>
        <x:v>0</x:v>
      </x:c>
      <x:c r="T86" s="330" t="n">
        <x:f>IF(M86&gt;Thresholds!$C$9,2,IF(M86&gt;Thresholds!$B$9,1,0))</x:f>
        <x:v>0</x:v>
      </x:c>
      <x:c r="U86" s="330" t="n">
        <x:f>IF(N86&gt;Thresholds!$C$10,2,IF(N86&gt;Thresholds!$B$10,1,0))</x:f>
        <x:v>1</x:v>
      </x:c>
      <x:c r="V86" s="330" t="n">
        <x:f>IF(O86&gt;Thresholds!$C$11,2,IF(O86&gt;Thresholds!$B$11,1,0))</x:f>
        <x:v>1</x:v>
      </x:c>
      <x:c r="W86" s="330" t="n">
        <x:f>SUM(P86:V86)</x:f>
        <x:v>2</x:v>
      </x:c>
      <x:c r="X86" s="330" t="str">
        <x:f>IF(W86&gt;=Thresholds!$C$14,"Red",IF(W86&gt;=Thresholds!$B$14,"Yellow","Green"))</x:f>
        <x:v>Green</x:v>
      </x:c>
    </x:row>
    <x:row r="87">
      <x:c r="A87" s="330" t="str">
        <x:v>PRJ-073</x:v>
      </x:c>
      <x:c r="B87" s="330" t="str">
        <x:v>Blue Mesa Apartments</x:v>
      </x:c>
      <x:c r="C87" s="330" t="str">
        <x:v>Residential</x:v>
      </x:c>
      <x:c r="D87" s="330" t="str">
        <x:v>CMAR</x:v>
      </x:c>
      <x:c r="E87" s="336" t="n">
        <x:v>31695000</x:v>
      </x:c>
      <x:c r="F87" s="330" t="n">
        <x:v>41</x:v>
      </x:c>
      <x:c r="G87" s="499" t="n">
        <x:v>13.447368421052632</x:v>
      </x:c>
      <x:c r="H87" s="338" t="n">
        <x:v>0.2895</x:v>
      </x:c>
      <x:c r="I87" s="338" t="n">
        <x:v>0.0732</x:v>
      </x:c>
      <x:c r="J87" s="338" t="n">
        <x:v>0</x:v>
      </x:c>
      <x:c r="K87" s="499" t="n">
        <x:v>32.75</x:v>
      </x:c>
      <x:c r="L87" s="336" t="n">
        <x:v>66000</x:v>
      </x:c>
      <x:c r="M87" s="334" t="n">
        <x:v>0.00208</x:v>
      </x:c>
      <x:c r="N87" s="499" t="n">
        <x:v>4.5</x:v>
      </x:c>
      <x:c r="O87" s="338" t="n">
        <x:v>0</x:v>
      </x:c>
      <x:c r="P87" s="330" t="n">
        <x:f>IF(G87&gt;Thresholds!$C$5,2,IF(G87&gt;Thresholds!$B$5,1,0))</x:f>
        <x:v>1</x:v>
      </x:c>
      <x:c r="Q87" s="330" t="n">
        <x:f>IF(I87&gt;Thresholds!$C$6,2,IF(I87&gt;Thresholds!$B$6,1,0))</x:f>
        <x:v>0</x:v>
      </x:c>
      <x:c r="R87" s="330" t="n">
        <x:f>IF(J87&gt;Thresholds!$C$7,2,IF(J87&gt;Thresholds!$B$7,1,0))</x:f>
        <x:v>0</x:v>
      </x:c>
      <x:c r="S87" s="330" t="n">
        <x:f>IF(K87&gt;Thresholds!$C$8,2,IF(K87&gt;Thresholds!$B$8,1,0))</x:f>
        <x:v>1</x:v>
      </x:c>
      <x:c r="T87" s="330" t="n">
        <x:f>IF(M87&gt;Thresholds!$C$9,2,IF(M87&gt;Thresholds!$B$9,1,0))</x:f>
        <x:v>0</x:v>
      </x:c>
      <x:c r="U87" s="330" t="n">
        <x:f>IF(N87&gt;Thresholds!$C$10,2,IF(N87&gt;Thresholds!$B$10,1,0))</x:f>
        <x:v>0</x:v>
      </x:c>
      <x:c r="V87" s="330" t="n">
        <x:f>IF(O87&gt;Thresholds!$C$11,2,IF(O87&gt;Thresholds!$B$11,1,0))</x:f>
        <x:v>0</x:v>
      </x:c>
      <x:c r="W87" s="330" t="n">
        <x:f>SUM(P87:V87)</x:f>
        <x:v>2</x:v>
      </x:c>
      <x:c r="X87" s="330" t="str">
        <x:f>IF(W87&gt;=Thresholds!$C$14,"Red",IF(W87&gt;=Thresholds!$B$14,"Yellow","Green"))</x:f>
        <x:v>Green</x:v>
      </x:c>
    </x:row>
    <x:row r="88">
      <x:c r="A88" s="330" t="str">
        <x:v>PRJ-074</x:v>
      </x:c>
      <x:c r="B88" s="330" t="str">
        <x:v>Canyon Distribution Center</x:v>
      </x:c>
      <x:c r="C88" s="330" t="str">
        <x:v>Industrial</x:v>
      </x:c>
      <x:c r="D88" s="330" t="str">
        <x:v>Design-Build</x:v>
      </x:c>
      <x:c r="E88" s="336" t="n">
        <x:v>31649000</x:v>
      </x:c>
      <x:c r="F88" s="330" t="n">
        <x:v>28</x:v>
      </x:c>
      <x:c r="G88" s="499" t="n">
        <x:v>9</x:v>
      </x:c>
      <x:c r="H88" s="338" t="n">
        <x:v>0.7406999999999999</x:v>
      </x:c>
      <x:c r="I88" s="338" t="n">
        <x:v>0.035699999999999996</x:v>
      </x:c>
      <x:c r="J88" s="338" t="n">
        <x:v>0.035699999999999996</x:v>
      </x:c>
      <x:c r="K88" s="499" t="n">
        <x:v>25.166666666666668</x:v>
      </x:c>
      <x:c r="L88" s="336" t="n">
        <x:v>50000</x:v>
      </x:c>
      <x:c r="M88" s="334" t="n">
        <x:v>0.00158</x:v>
      </x:c>
      <x:c r="N88" s="499" t="n">
        <x:v>4.5</x:v>
      </x:c>
      <x:c r="O88" s="338" t="n">
        <x:v>0</x:v>
      </x:c>
      <x:c r="P88" s="330" t="n">
        <x:f>IF(G88&gt;Thresholds!$C$5,2,IF(G88&gt;Thresholds!$B$5,1,0))</x:f>
        <x:v>0</x:v>
      </x:c>
      <x:c r="Q88" s="330" t="n">
        <x:f>IF(I88&gt;Thresholds!$C$6,2,IF(I88&gt;Thresholds!$B$6,1,0))</x:f>
        <x:v>0</x:v>
      </x:c>
      <x:c r="R88" s="330" t="n">
        <x:f>IF(J88&gt;Thresholds!$C$7,2,IF(J88&gt;Thresholds!$B$7,1,0))</x:f>
        <x:v>1</x:v>
      </x:c>
      <x:c r="S88" s="330" t="n">
        <x:f>IF(K88&gt;Thresholds!$C$8,2,IF(K88&gt;Thresholds!$B$8,1,0))</x:f>
        <x:v>1</x:v>
      </x:c>
      <x:c r="T88" s="330" t="n">
        <x:f>IF(M88&gt;Thresholds!$C$9,2,IF(M88&gt;Thresholds!$B$9,1,0))</x:f>
        <x:v>0</x:v>
      </x:c>
      <x:c r="U88" s="330" t="n">
        <x:f>IF(N88&gt;Thresholds!$C$10,2,IF(N88&gt;Thresholds!$B$10,1,0))</x:f>
        <x:v>0</x:v>
      </x:c>
      <x:c r="V88" s="330" t="n">
        <x:f>IF(O88&gt;Thresholds!$C$11,2,IF(O88&gt;Thresholds!$B$11,1,0))</x:f>
        <x:v>0</x:v>
      </x:c>
      <x:c r="W88" s="330" t="n">
        <x:f>SUM(P88:V88)</x:f>
        <x:v>2</x:v>
      </x:c>
      <x:c r="X88" s="330" t="str">
        <x:f>IF(W88&gt;=Thresholds!$C$14,"Red",IF(W88&gt;=Thresholds!$B$14,"Yellow","Green"))</x:f>
        <x:v>Green</x:v>
      </x:c>
    </x:row>
    <x:row r="89">
      <x:c r="A89" s="330" t="str">
        <x:v>PRJ-085</x:v>
      </x:c>
      <x:c r="B89" s="330" t="str">
        <x:v>Red Rock Community College</x:v>
      </x:c>
      <x:c r="C89" s="330" t="str">
        <x:v>Institutional</x:v>
      </x:c>
      <x:c r="D89" s="330" t="str">
        <x:v>CMAR</x:v>
      </x:c>
      <x:c r="E89" s="336" t="n">
        <x:v>72110000</x:v>
      </x:c>
      <x:c r="F89" s="330" t="n">
        <x:v>24</x:v>
      </x:c>
      <x:c r="G89" s="499" t="n">
        <x:v>8</x:v>
      </x:c>
      <x:c r="H89" s="338" t="n">
        <x:v>0.6364</x:v>
      </x:c>
      <x:c r="I89" s="338" t="n">
        <x:v>0.0833</x:v>
      </x:c>
      <x:c r="J89" s="338" t="n">
        <x:v>0</x:v>
      </x:c>
      <x:c r="K89" s="499" t="n">
        <x:v>13.8</x:v>
      </x:c>
      <x:c r="L89" s="336" t="n">
        <x:v>976000</x:v>
      </x:c>
      <x:c r="M89" s="334" t="n">
        <x:v>0.01353</x:v>
      </x:c>
      <x:c r="N89" s="499" t="n">
        <x:v>5</x:v>
      </x:c>
      <x:c r="O89" s="338" t="n">
        <x:v>0</x:v>
      </x:c>
      <x:c r="P89" s="330" t="n">
        <x:f>IF(G89&gt;Thresholds!$C$5,2,IF(G89&gt;Thresholds!$B$5,1,0))</x:f>
        <x:v>0</x:v>
      </x:c>
      <x:c r="Q89" s="330" t="n">
        <x:f>IF(I89&gt;Thresholds!$C$6,2,IF(I89&gt;Thresholds!$B$6,1,0))</x:f>
        <x:v>0</x:v>
      </x:c>
      <x:c r="R89" s="330" t="n">
        <x:f>IF(J89&gt;Thresholds!$C$7,2,IF(J89&gt;Thresholds!$B$7,1,0))</x:f>
        <x:v>0</x:v>
      </x:c>
      <x:c r="S89" s="330" t="n">
        <x:f>IF(K89&gt;Thresholds!$C$8,2,IF(K89&gt;Thresholds!$B$8,1,0))</x:f>
        <x:v>0</x:v>
      </x:c>
      <x:c r="T89" s="330" t="n">
        <x:f>IF(M89&gt;Thresholds!$C$9,2,IF(M89&gt;Thresholds!$B$9,1,0))</x:f>
        <x:v>1</x:v>
      </x:c>
      <x:c r="U89" s="330" t="n">
        <x:f>IF(N89&gt;Thresholds!$C$10,2,IF(N89&gt;Thresholds!$B$10,1,0))</x:f>
        <x:v>0</x:v>
      </x:c>
      <x:c r="V89" s="330" t="n">
        <x:f>IF(O89&gt;Thresholds!$C$11,2,IF(O89&gt;Thresholds!$B$11,1,0))</x:f>
        <x:v>0</x:v>
      </x:c>
      <x:c r="W89" s="330" t="n">
        <x:f>SUM(P89:V89)</x:f>
        <x:v>1</x:v>
      </x:c>
      <x:c r="X89" s="330" t="str">
        <x:f>IF(W89&gt;=Thresholds!$C$14,"Red",IF(W89&gt;=Thresholds!$B$14,"Yellow","Green"))</x:f>
        <x:v>Green</x:v>
      </x:c>
    </x:row>
    <x:row r="90">
      <x:c r="A90" s="330" t="str">
        <x:v>PRJ-044</x:v>
      </x:c>
      <x:c r="B90" s="330" t="str">
        <x:v>Sunset Processing Plant 2</x:v>
      </x:c>
      <x:c r="C90" s="330" t="str">
        <x:v>Industrial</x:v>
      </x:c>
      <x:c r="D90" s="330" t="str">
        <x:v>CMAR</x:v>
      </x:c>
      <x:c r="E90" s="336" t="n">
        <x:v>194536000</x:v>
      </x:c>
      <x:c r="F90" s="330" t="n">
        <x:v>31</x:v>
      </x:c>
      <x:c r="G90" s="499" t="n">
        <x:v>6.275862068965517</x:v>
      </x:c>
      <x:c r="H90" s="338" t="n">
        <x:v>1</x:v>
      </x:c>
      <x:c r="I90" s="338" t="n">
        <x:v>0.0645</x:v>
      </x:c>
      <x:c r="J90" s="338" t="n">
        <x:v>0</x:v>
      </x:c>
      <x:c r="K90" s="499" t="n">
        <x:v>14</x:v>
      </x:c>
      <x:c r="L90" s="336" t="n">
        <x:v>1262000</x:v>
      </x:c>
      <x:c r="M90" s="334" t="n">
        <x:v>0.00649</x:v>
      </x:c>
      <x:c r="N90" s="499" t="n">
        <x:v>5</x:v>
      </x:c>
      <x:c r="O90" s="338" t="n">
        <x:v>0</x:v>
      </x:c>
      <x:c r="P90" s="330" t="n">
        <x:f>IF(G90&gt;Thresholds!$C$5,2,IF(G90&gt;Thresholds!$B$5,1,0))</x:f>
        <x:v>0</x:v>
      </x:c>
      <x:c r="Q90" s="330" t="n">
        <x:f>IF(I90&gt;Thresholds!$C$6,2,IF(I90&gt;Thresholds!$B$6,1,0))</x:f>
        <x:v>0</x:v>
      </x:c>
      <x:c r="R90" s="330" t="n">
        <x:f>IF(J90&gt;Thresholds!$C$7,2,IF(J90&gt;Thresholds!$B$7,1,0))</x:f>
        <x:v>0</x:v>
      </x:c>
      <x:c r="S90" s="330" t="n">
        <x:f>IF(K90&gt;Thresholds!$C$8,2,IF(K90&gt;Thresholds!$B$8,1,0))</x:f>
        <x:v>0</x:v>
      </x:c>
      <x:c r="T90" s="330" t="n">
        <x:f>IF(M90&gt;Thresholds!$C$9,2,IF(M90&gt;Thresholds!$B$9,1,0))</x:f>
        <x:v>1</x:v>
      </x:c>
      <x:c r="U90" s="330" t="n">
        <x:f>IF(N90&gt;Thresholds!$C$10,2,IF(N90&gt;Thresholds!$B$10,1,0))</x:f>
        <x:v>0</x:v>
      </x:c>
      <x:c r="V90" s="330" t="n">
        <x:f>IF(O90&gt;Thresholds!$C$11,2,IF(O90&gt;Thresholds!$B$11,1,0))</x:f>
        <x:v>0</x:v>
      </x:c>
      <x:c r="W90" s="330" t="n">
        <x:f>SUM(P90:V90)</x:f>
        <x:v>1</x:v>
      </x:c>
      <x:c r="X90" s="330" t="str">
        <x:f>IF(W90&gt;=Thresholds!$C$14,"Red",IF(W90&gt;=Thresholds!$B$14,"Yellow","Green"))</x:f>
        <x:v>Green</x:v>
      </x:c>
    </x:row>
    <x:row r="91">
      <x:c r="A91" s="330" t="str">
        <x:v>PRJ-020</x:v>
      </x:c>
      <x:c r="B91" s="330" t="str">
        <x:v>Aspen Processing Plant</x:v>
      </x:c>
      <x:c r="C91" s="330" t="str">
        <x:v>Industrial</x:v>
      </x:c>
      <x:c r="D91" s="330" t="str">
        <x:v>Design-Bid-Build</x:v>
      </x:c>
      <x:c r="E91" s="336" t="n">
        <x:v>216015000</x:v>
      </x:c>
      <x:c r="F91" s="330" t="n">
        <x:v>30</x:v>
      </x:c>
      <x:c r="G91" s="499" t="n">
        <x:v>8.413793103448276</x:v>
      </x:c>
      <x:c r="H91" s="338" t="n">
        <x:v>0.6897</x:v>
      </x:c>
      <x:c r="I91" s="338" t="n">
        <x:v>0.0333</x:v>
      </x:c>
      <x:c r="J91" s="338" t="n">
        <x:v>0</x:v>
      </x:c>
      <x:c r="K91" s="499" t="n">
        <x:v>16.857142857142858</x:v>
      </x:c>
      <x:c r="L91" s="336" t="n">
        <x:v>1247000</x:v>
      </x:c>
      <x:c r="M91" s="334" t="n">
        <x:v>0.00577</x:v>
      </x:c>
      <x:c r="N91" s="499" t="n">
        <x:v>3.857142857142857</x:v>
      </x:c>
      <x:c r="O91" s="338" t="n">
        <x:v>0</x:v>
      </x:c>
      <x:c r="P91" s="330" t="n">
        <x:f>IF(G91&gt;Thresholds!$C$5,2,IF(G91&gt;Thresholds!$B$5,1,0))</x:f>
        <x:v>0</x:v>
      </x:c>
      <x:c r="Q91" s="330" t="n">
        <x:f>IF(I91&gt;Thresholds!$C$6,2,IF(I91&gt;Thresholds!$B$6,1,0))</x:f>
        <x:v>0</x:v>
      </x:c>
      <x:c r="R91" s="330" t="n">
        <x:f>IF(J91&gt;Thresholds!$C$7,2,IF(J91&gt;Thresholds!$B$7,1,0))</x:f>
        <x:v>0</x:v>
      </x:c>
      <x:c r="S91" s="330" t="n">
        <x:f>IF(K91&gt;Thresholds!$C$8,2,IF(K91&gt;Thresholds!$B$8,1,0))</x:f>
        <x:v>0</x:v>
      </x:c>
      <x:c r="T91" s="330" t="n">
        <x:f>IF(M91&gt;Thresholds!$C$9,2,IF(M91&gt;Thresholds!$B$9,1,0))</x:f>
        <x:v>1</x:v>
      </x:c>
      <x:c r="U91" s="330" t="n">
        <x:f>IF(N91&gt;Thresholds!$C$10,2,IF(N91&gt;Thresholds!$B$10,1,0))</x:f>
        <x:v>0</x:v>
      </x:c>
      <x:c r="V91" s="330" t="n">
        <x:f>IF(O91&gt;Thresholds!$C$11,2,IF(O91&gt;Thresholds!$B$11,1,0))</x:f>
        <x:v>0</x:v>
      </x:c>
      <x:c r="W91" s="330" t="n">
        <x:f>SUM(P91:V91)</x:f>
        <x:v>1</x:v>
      </x:c>
      <x:c r="X91" s="330" t="str">
        <x:f>IF(W91&gt;=Thresholds!$C$14,"Red",IF(W91&gt;=Thresholds!$B$14,"Yellow","Green"))</x:f>
        <x:v>Green</x:v>
      </x:c>
    </x:row>
    <x:row r="92">
      <x:c r="A92" s="330" t="str">
        <x:v>PRJ-060</x:v>
      </x:c>
      <x:c r="B92" s="330" t="str">
        <x:v>Summit Medical Pavilion 2</x:v>
      </x:c>
      <x:c r="C92" s="330" t="str">
        <x:v>Institutional</x:v>
      </x:c>
      <x:c r="D92" s="330" t="str">
        <x:v>Design-Build</x:v>
      </x:c>
      <x:c r="E92" s="336" t="n">
        <x:v>26794000</x:v>
      </x:c>
      <x:c r="F92" s="330" t="n">
        <x:v>22</x:v>
      </x:c>
      <x:c r="G92" s="499" t="n">
        <x:v>9.714285714285714</x:v>
      </x:c>
      <x:c r="H92" s="338" t="n">
        <x:v>0.47619999999999996</x:v>
      </x:c>
      <x:c r="I92" s="338" t="n">
        <x:v>0.0455</x:v>
      </x:c>
      <x:c r="J92" s="338" t="n">
        <x:v>0</x:v>
      </x:c>
      <x:c r="K92" s="499" t="n">
        <x:v>18</x:v>
      </x:c>
      <x:c r="L92" s="336" t="n">
        <x:v>88000</x:v>
      </x:c>
      <x:c r="M92" s="334" t="n">
        <x:v>0.00328</x:v>
      </x:c>
      <x:c r="N92" s="499" t="n">
        <x:v>8</x:v>
      </x:c>
      <x:c r="O92" s="338" t="n">
        <x:v>0</x:v>
      </x:c>
      <x:c r="P92" s="330" t="n">
        <x:f>IF(G92&gt;Thresholds!$C$5,2,IF(G92&gt;Thresholds!$B$5,1,0))</x:f>
        <x:v>0</x:v>
      </x:c>
      <x:c r="Q92" s="330" t="n">
        <x:f>IF(I92&gt;Thresholds!$C$6,2,IF(I92&gt;Thresholds!$B$6,1,0))</x:f>
        <x:v>0</x:v>
      </x:c>
      <x:c r="R92" s="330" t="n">
        <x:f>IF(J92&gt;Thresholds!$C$7,2,IF(J92&gt;Thresholds!$B$7,1,0))</x:f>
        <x:v>0</x:v>
      </x:c>
      <x:c r="S92" s="330" t="n">
        <x:f>IF(K92&gt;Thresholds!$C$8,2,IF(K92&gt;Thresholds!$B$8,1,0))</x:f>
        <x:v>0</x:v>
      </x:c>
      <x:c r="T92" s="330" t="n">
        <x:f>IF(M92&gt;Thresholds!$C$9,2,IF(M92&gt;Thresholds!$B$9,1,0))</x:f>
        <x:v>0</x:v>
      </x:c>
      <x:c r="U92" s="330" t="n">
        <x:f>IF(N92&gt;Thresholds!$C$10,2,IF(N92&gt;Thresholds!$B$10,1,0))</x:f>
        <x:v>1</x:v>
      </x:c>
      <x:c r="V92" s="330" t="n">
        <x:f>IF(O92&gt;Thresholds!$C$11,2,IF(O92&gt;Thresholds!$B$11,1,0))</x:f>
        <x:v>0</x:v>
      </x:c>
      <x:c r="W92" s="330" t="n">
        <x:f>SUM(P92:V92)</x:f>
        <x:v>1</x:v>
      </x:c>
      <x:c r="X92" s="330" t="str">
        <x:f>IF(W92&gt;=Thresholds!$C$14,"Red",IF(W92&gt;=Thresholds!$B$14,"Yellow","Green"))</x:f>
        <x:v>Green</x:v>
      </x:c>
    </x:row>
    <x:row r="93">
      <x:c r="A93" s="330" t="str">
        <x:v>PRJ-061</x:v>
      </x:c>
      <x:c r="B93" s="330" t="str">
        <x:v>Red Rock Distribution Center</x:v>
      </x:c>
      <x:c r="C93" s="330" t="str">
        <x:v>Industrial</x:v>
      </x:c>
      <x:c r="D93" s="330" t="str">
        <x:v>Design-Bid-Build</x:v>
      </x:c>
      <x:c r="E93" s="336" t="n">
        <x:v>231610000</x:v>
      </x:c>
      <x:c r="F93" s="330" t="n">
        <x:v>37</x:v>
      </x:c>
      <x:c r="G93" s="499" t="n">
        <x:v>6.916666666666667</x:v>
      </x:c>
      <x:c r="H93" s="338" t="n">
        <x:v>0.6944</x:v>
      </x:c>
      <x:c r="I93" s="338" t="n">
        <x:v>0.027000000000000003</x:v>
      </x:c>
      <x:c r="J93" s="338" t="n">
        <x:v>0</x:v>
      </x:c>
      <x:c r="K93" s="499" t="n">
        <x:v>15.857142857142858</x:v>
      </x:c>
      <x:c r="L93" s="336" t="n">
        <x:v>894000</x:v>
      </x:c>
      <x:c r="M93" s="334" t="n">
        <x:v>0.00386</x:v>
      </x:c>
      <x:c r="N93" s="499" t="n">
        <x:v>4.714285714285714</x:v>
      </x:c>
      <x:c r="O93" s="338" t="n">
        <x:v>0</x:v>
      </x:c>
      <x:c r="P93" s="330" t="n">
        <x:f>IF(G93&gt;Thresholds!$C$5,2,IF(G93&gt;Thresholds!$B$5,1,0))</x:f>
        <x:v>0</x:v>
      </x:c>
      <x:c r="Q93" s="330" t="n">
        <x:f>IF(I93&gt;Thresholds!$C$6,2,IF(I93&gt;Thresholds!$B$6,1,0))</x:f>
        <x:v>0</x:v>
      </x:c>
      <x:c r="R93" s="330" t="n">
        <x:f>IF(J93&gt;Thresholds!$C$7,2,IF(J93&gt;Thresholds!$B$7,1,0))</x:f>
        <x:v>0</x:v>
      </x:c>
      <x:c r="S93" s="330" t="n">
        <x:f>IF(K93&gt;Thresholds!$C$8,2,IF(K93&gt;Thresholds!$B$8,1,0))</x:f>
        <x:v>0</x:v>
      </x:c>
      <x:c r="T93" s="330" t="n">
        <x:f>IF(M93&gt;Thresholds!$C$9,2,IF(M93&gt;Thresholds!$B$9,1,0))</x:f>
        <x:v>0</x:v>
      </x:c>
      <x:c r="U93" s="330" t="n">
        <x:f>IF(N93&gt;Thresholds!$C$10,2,IF(N93&gt;Thresholds!$B$10,1,0))</x:f>
        <x:v>0</x:v>
      </x:c>
      <x:c r="V93" s="330" t="n">
        <x:f>IF(O93&gt;Thresholds!$C$11,2,IF(O93&gt;Thresholds!$B$11,1,0))</x:f>
        <x:v>0</x:v>
      </x:c>
      <x:c r="W93" s="330" t="n">
        <x:f>SUM(P93:V93)</x:f>
        <x:v>0</x:v>
      </x:c>
      <x:c r="X93" s="330" t="str">
        <x:f>IF(W93&gt;=Thresholds!$C$14,"Red",IF(W93&gt;=Thresholds!$B$14,"Yellow","Green"))</x:f>
        <x:v>Green</x:v>
      </x:c>
    </x:row>
    <x:row r="94">
      <x:c r="A94" s="330" t="str">
        <x:v>PRJ-084</x:v>
      </x:c>
      <x:c r="B94" s="330" t="str">
        <x:v>Northstar Retail Pavilion</x:v>
      </x:c>
      <x:c r="C94" s="330" t="str">
        <x:v>Commercial</x:v>
      </x:c>
      <x:c r="D94" s="330" t="str">
        <x:v>Design-Bid-Build</x:v>
      </x:c>
      <x:c r="E94" s="336" t="n">
        <x:v>179971000</x:v>
      </x:c>
      <x:c r="F94" s="330" t="n">
        <x:v>28</x:v>
      </x:c>
      <x:c r="G94" s="499" t="n">
        <x:v>5.6</x:v>
      </x:c>
      <x:c r="H94" s="338" t="n">
        <x:v>0.84</x:v>
      </x:c>
      <x:c r="I94" s="338" t="n">
        <x:v>0.10710000000000001</x:v>
      </x:c>
      <x:c r="J94" s="338" t="n">
        <x:v>0</x:v>
      </x:c>
      <x:c r="K94" s="499" t="n">
        <x:v>14.166666666666666</x:v>
      </x:c>
      <x:c r="L94" s="336" t="n">
        <x:v>281000</x:v>
      </x:c>
      <x:c r="M94" s="334" t="n">
        <x:v>0.00156</x:v>
      </x:c>
      <x:c r="N94" s="499" t="n">
        <x:v>4.5</x:v>
      </x:c>
      <x:c r="O94" s="338" t="n">
        <x:v>0</x:v>
      </x:c>
      <x:c r="P94" s="330" t="n">
        <x:f>IF(G94&gt;Thresholds!$C$5,2,IF(G94&gt;Thresholds!$B$5,1,0))</x:f>
        <x:v>0</x:v>
      </x:c>
      <x:c r="Q94" s="330" t="n">
        <x:f>IF(I94&gt;Thresholds!$C$6,2,IF(I94&gt;Thresholds!$B$6,1,0))</x:f>
        <x:v>0</x:v>
      </x:c>
      <x:c r="R94" s="330" t="n">
        <x:f>IF(J94&gt;Thresholds!$C$7,2,IF(J94&gt;Thresholds!$B$7,1,0))</x:f>
        <x:v>0</x:v>
      </x:c>
      <x:c r="S94" s="330" t="n">
        <x:f>IF(K94&gt;Thresholds!$C$8,2,IF(K94&gt;Thresholds!$B$8,1,0))</x:f>
        <x:v>0</x:v>
      </x:c>
      <x:c r="T94" s="330" t="n">
        <x:f>IF(M94&gt;Thresholds!$C$9,2,IF(M94&gt;Thresholds!$B$9,1,0))</x:f>
        <x:v>0</x:v>
      </x:c>
      <x:c r="U94" s="330" t="n">
        <x:f>IF(N94&gt;Thresholds!$C$10,2,IF(N94&gt;Thresholds!$B$10,1,0))</x:f>
        <x:v>0</x:v>
      </x:c>
      <x:c r="V94" s="330" t="n">
        <x:f>IF(O94&gt;Thresholds!$C$11,2,IF(O94&gt;Thresholds!$B$11,1,0))</x:f>
        <x:v>0</x:v>
      </x:c>
      <x:c r="W94" s="330" t="n">
        <x:f>SUM(P94:V94)</x:f>
        <x:v>0</x:v>
      </x:c>
      <x:c r="X94" s="330" t="str">
        <x:f>IF(W94&gt;=Thresholds!$C$14,"Red",IF(W94&gt;=Thresholds!$B$14,"Yellow","Green"))</x:f>
        <x:v>Green</x:v>
      </x:c>
    </x:row>
    <x:row r="95">
      <x:c r="A95" s="330" t="str">
        <x:v>PRJ-015</x:v>
      </x:c>
      <x:c r="B95" s="330" t="str">
        <x:v>Evergreen Retail Pavilion</x:v>
      </x:c>
      <x:c r="C95" s="330" t="str">
        <x:v>Commercial</x:v>
      </x:c>
      <x:c r="D95" s="330" t="str">
        <x:v>CMAR</x:v>
      </x:c>
      <x:c r="E95" s="336" t="n">
        <x:v>16767000</x:v>
      </x:c>
      <x:c r="F95" s="330" t="n">
        <x:v>26</x:v>
      </x:c>
      <x:c r="G95" s="499" t="n">
        <x:v>8.76</x:v>
      </x:c>
      <x:c r="H95" s="338" t="n">
        <x:v>0.72</x:v>
      </x:c>
      <x:c r="I95" s="338" t="n">
        <x:v>0.0385</x:v>
      </x:c>
      <x:c r="J95" s="338" t="n">
        <x:v>0</x:v>
      </x:c>
      <x:c r="K95" s="499" t="n">
        <x:v>16.666666666666668</x:v>
      </x:c>
      <x:c r="L95" s="336" t="n">
        <x:v>12000</x:v>
      </x:c>
      <x:c r="M95" s="334" t="n">
        <x:v>0.0007199999999999999</x:v>
      </x:c>
      <x:c r="N95" s="499" t="n">
        <x:v>3.8333333333333335</x:v>
      </x:c>
      <x:c r="O95" s="338" t="n">
        <x:v>0</x:v>
      </x:c>
      <x:c r="P95" s="330" t="n">
        <x:f>IF(G95&gt;Thresholds!$C$5,2,IF(G95&gt;Thresholds!$B$5,1,0))</x:f>
        <x:v>0</x:v>
      </x:c>
      <x:c r="Q95" s="330" t="n">
        <x:f>IF(I95&gt;Thresholds!$C$6,2,IF(I95&gt;Thresholds!$B$6,1,0))</x:f>
        <x:v>0</x:v>
      </x:c>
      <x:c r="R95" s="330" t="n">
        <x:f>IF(J95&gt;Thresholds!$C$7,2,IF(J95&gt;Thresholds!$B$7,1,0))</x:f>
        <x:v>0</x:v>
      </x:c>
      <x:c r="S95" s="330" t="n">
        <x:f>IF(K95&gt;Thresholds!$C$8,2,IF(K95&gt;Thresholds!$B$8,1,0))</x:f>
        <x:v>0</x:v>
      </x:c>
      <x:c r="T95" s="330" t="n">
        <x:f>IF(M95&gt;Thresholds!$C$9,2,IF(M95&gt;Thresholds!$B$9,1,0))</x:f>
        <x:v>0</x:v>
      </x:c>
      <x:c r="U95" s="330" t="n">
        <x:f>IF(N95&gt;Thresholds!$C$10,2,IF(N95&gt;Thresholds!$B$10,1,0))</x:f>
        <x:v>0</x:v>
      </x:c>
      <x:c r="V95" s="330" t="n">
        <x:f>IF(O95&gt;Thresholds!$C$11,2,IF(O95&gt;Thresholds!$B$11,1,0))</x:f>
        <x:v>0</x:v>
      </x:c>
      <x:c r="W95" s="330" t="n">
        <x:f>SUM(P95:V95)</x:f>
        <x:v>0</x:v>
      </x:c>
      <x:c r="X95" s="330" t="str">
        <x:f>IF(W95&gt;=Thresholds!$C$14,"Red",IF(W95&gt;=Thresholds!$B$14,"Yellow","Green"))</x:f>
        <x:v>Green</x:v>
      </x:c>
    </x:row>
  </x:sheetData>
  <x:mergeCells>
    <x:mergeCell ref="A1:X1"/>
    <x:mergeCell ref="A2:H3"/>
  </x:mergeCells>
  <x:conditionalFormatting sqref="X6:X95">
    <x:cfRule type="expression" dxfId="4" priority="1">
      <x:formula>X6="Red"</x:formula>
    </x:cfRule>
    <x:cfRule type="expression" dxfId="5" priority="2">
      <x:formula>X6="Yellow"</x:formula>
    </x:cfRule>
    <x:cfRule type="expression" dxfId="6" priority="3">
      <x:formula>X6="Green"</x:formula>
    </x:cfRule>
  </x:conditionalFormatting>
  <x:conditionalFormatting sqref="W6:W95">
    <x:cfRule type="dataBar" priority="4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{1CA52BB3-6153-59D5-0324-F066712A6C47}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e5a10e5a42a4ad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CA52BB3-6153-59D5-0324-F066712A6C47}">
            <x14:dataBar gradient="1">
              <x14:cfvo type="min"/>
              <x14:cfvo type="max"/>
              <x14:fillColor rgb="FF1EA7C5"/>
            </x14:dataBar>
          </x14:cfRule>
          <xm:sqref>W6:W95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5" t="str">
        <x:v>RFI Performance by Discipline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Response speed, compliance, linkage, and impact.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Discipline</x:v>
      </x:c>
      <x:c r="B5" s="321" t="str">
        <x:v>RFI_Count</x:v>
      </x:c>
      <x:c r="C5" s="321" t="str">
        <x:v>Responded_Count</x:v>
      </x:c>
      <x:c r="D5" s="321" t="str">
        <x:v>Avg_Response_Days</x:v>
      </x:c>
      <x:c r="E5" s="321" t="str">
        <x:v>On_Time_Rate_Pct</x:v>
      </x:c>
      <x:c r="F5" s="321" t="str">
        <x:v>Overdue_Open_Count</x:v>
      </x:c>
      <x:c r="G5" s="321" t="str">
        <x:v>RFI_to_Change_Rate_Pct</x:v>
      </x:c>
      <x:c r="H5" s="321" t="str">
        <x:v>Cost_Impacted_Count</x:v>
      </x:c>
      <x:c r="I5" s="321" t="str">
        <x:v>Schedule_Impacted_Count</x:v>
      </x:c>
      <x:c r="J5" s="321" t="str">
        <x:v>Actual_Cost_Impact</x:v>
      </x:c>
      <x:c r="K5" s="321" t="str">
        <x:v>Actual_Schedule_Days</x:v>
      </x:c>
    </x:row>
    <x:row r="6">
      <x:c r="A6" s="330" t="str">
        <x:v>Specialty Systems</x:v>
      </x:c>
      <x:c r="B6" s="330" t="n">
        <x:v>231</x:v>
      </x:c>
      <x:c r="C6" s="330" t="n">
        <x:v>211</x:v>
      </x:c>
      <x:c r="D6" s="330" t="n">
        <x:v>13.64</x:v>
      </x:c>
      <x:c r="E6" s="338" t="n">
        <x:v>0.41200000000000003</x:v>
      </x:c>
      <x:c r="F6" s="330" t="n">
        <x:v>20</x:v>
      </x:c>
      <x:c r="G6" s="338" t="n">
        <x:v>0.147</x:v>
      </x:c>
      <x:c r="H6" s="330" t="n">
        <x:v>46</x:v>
      </x:c>
      <x:c r="I6" s="330" t="n">
        <x:v>35</x:v>
      </x:c>
      <x:c r="J6" s="336" t="n">
        <x:v>1872400</x:v>
      </x:c>
      <x:c r="K6" s="330" t="n">
        <x:v>188</x:v>
      </x:c>
    </x:row>
    <x:row r="7">
      <x:c r="A7" s="330" t="str">
        <x:v>Mechanical</x:v>
      </x:c>
      <x:c r="B7" s="330" t="n">
        <x:v>480</x:v>
      </x:c>
      <x:c r="C7" s="330" t="n">
        <x:v>439</x:v>
      </x:c>
      <x:c r="D7" s="330" t="n">
        <x:v>13.43</x:v>
      </x:c>
      <x:c r="E7" s="338" t="n">
        <x:v>0.387</x:v>
      </x:c>
      <x:c r="F7" s="330" t="n">
        <x:v>40</x:v>
      </x:c>
      <x:c r="G7" s="338" t="n">
        <x:v>0.192</x:v>
      </x:c>
      <x:c r="H7" s="330" t="n">
        <x:v>117</x:v>
      </x:c>
      <x:c r="I7" s="330" t="n">
        <x:v>90</x:v>
      </x:c>
      <x:c r="J7" s="336" t="n">
        <x:v>4939500</x:v>
      </x:c>
      <x:c r="K7" s="330" t="n">
        <x:v>365</x:v>
      </x:c>
    </x:row>
    <x:row r="8">
      <x:c r="A8" s="330" t="str">
        <x:v>Electrical</x:v>
      </x:c>
      <x:c r="B8" s="330" t="n">
        <x:v>518</x:v>
      </x:c>
      <x:c r="C8" s="330" t="n">
        <x:v>468</x:v>
      </x:c>
      <x:c r="D8" s="330" t="n">
        <x:v>12.98</x:v>
      </x:c>
      <x:c r="E8" s="338" t="n">
        <x:v>0.425</x:v>
      </x:c>
      <x:c r="F8" s="330" t="n">
        <x:v>50</x:v>
      </x:c>
      <x:c r="G8" s="338" t="n">
        <x:v>0.17800000000000002</x:v>
      </x:c>
      <x:c r="H8" s="330" t="n">
        <x:v>122</x:v>
      </x:c>
      <x:c r="I8" s="330" t="n">
        <x:v>82</x:v>
      </x:c>
      <x:c r="J8" s="336" t="n">
        <x:v>5146900</x:v>
      </x:c>
      <x:c r="K8" s="330" t="n">
        <x:v>436</x:v>
      </x:c>
    </x:row>
    <x:row r="9">
      <x:c r="A9" s="330" t="str">
        <x:v>Structural</x:v>
      </x:c>
      <x:c r="B9" s="330" t="n">
        <x:v>413</x:v>
      </x:c>
      <x:c r="C9" s="330" t="n">
        <x:v>370</x:v>
      </x:c>
      <x:c r="D9" s="330" t="n">
        <x:v>12.95</x:v>
      </x:c>
      <x:c r="E9" s="338" t="n">
        <x:v>0.41100000000000003</x:v>
      </x:c>
      <x:c r="F9" s="330" t="n">
        <x:v>43</x:v>
      </x:c>
      <x:c r="G9" s="338" t="n">
        <x:v>0.174</x:v>
      </x:c>
      <x:c r="H9" s="330" t="n">
        <x:v>95</x:v>
      </x:c>
      <x:c r="I9" s="330" t="n">
        <x:v>83</x:v>
      </x:c>
      <x:c r="J9" s="336" t="n">
        <x:v>2972300</x:v>
      </x:c>
      <x:c r="K9" s="330" t="n">
        <x:v>302</x:v>
      </x:c>
    </x:row>
    <x:row r="10">
      <x:c r="A10" s="330" t="str">
        <x:v>Fire Protection</x:v>
      </x:c>
      <x:c r="B10" s="330" t="n">
        <x:v>181</x:v>
      </x:c>
      <x:c r="C10" s="330" t="n">
        <x:v>173</x:v>
      </x:c>
      <x:c r="D10" s="330" t="n">
        <x:v>12.41</x:v>
      </x:c>
      <x:c r="E10" s="338" t="n">
        <x:v>0.434</x:v>
      </x:c>
      <x:c r="F10" s="330" t="n">
        <x:v>8</x:v>
      </x:c>
      <x:c r="G10" s="338" t="n">
        <x:v>0.166</x:v>
      </x:c>
      <x:c r="H10" s="330" t="n">
        <x:v>44</x:v>
      </x:c>
      <x:c r="I10" s="330" t="n">
        <x:v>32</x:v>
      </x:c>
      <x:c r="J10" s="336" t="n">
        <x:v>2022800</x:v>
      </x:c>
      <x:c r="K10" s="330" t="n">
        <x:v>152</x:v>
      </x:c>
    </x:row>
    <x:row r="11">
      <x:c r="A11" s="330" t="str">
        <x:v>Civil</x:v>
      </x:c>
      <x:c r="B11" s="330" t="n">
        <x:v>285</x:v>
      </x:c>
      <x:c r="C11" s="330" t="n">
        <x:v>263</x:v>
      </x:c>
      <x:c r="D11" s="330" t="n">
        <x:v>12.38</x:v>
      </x:c>
      <x:c r="E11" s="338" t="n">
        <x:v>0.449</x:v>
      </x:c>
      <x:c r="F11" s="330" t="n">
        <x:v>21</x:v>
      </x:c>
      <x:c r="G11" s="338" t="n">
        <x:v>0.175</x:v>
      </x:c>
      <x:c r="H11" s="330" t="n">
        <x:v>70</x:v>
      </x:c>
      <x:c r="I11" s="330" t="n">
        <x:v>48</x:v>
      </x:c>
      <x:c r="J11" s="336" t="n">
        <x:v>2363600</x:v>
      </x:c>
      <x:c r="K11" s="330" t="n">
        <x:v>219</x:v>
      </x:c>
    </x:row>
    <x:row r="12">
      <x:c r="A12" s="330" t="str">
        <x:v>Controls</x:v>
      </x:c>
      <x:c r="B12" s="330" t="n">
        <x:v>157</x:v>
      </x:c>
      <x:c r="C12" s="330" t="n">
        <x:v>147</x:v>
      </x:c>
      <x:c r="D12" s="330" t="n">
        <x:v>12.18</x:v>
      </x:c>
      <x:c r="E12" s="338" t="n">
        <x:v>0.49</x:v>
      </x:c>
      <x:c r="F12" s="330" t="n">
        <x:v>10</x:v>
      </x:c>
      <x:c r="G12" s="338" t="n">
        <x:v>0.191</x:v>
      </x:c>
      <x:c r="H12" s="330" t="n">
        <x:v>38</x:v>
      </x:c>
      <x:c r="I12" s="330" t="n">
        <x:v>22</x:v>
      </x:c>
      <x:c r="J12" s="336" t="n">
        <x:v>1821600</x:v>
      </x:c>
      <x:c r="K12" s="330" t="n">
        <x:v>158</x:v>
      </x:c>
    </x:row>
    <x:row r="13">
      <x:c r="A13" s="330" t="str">
        <x:v>Plumbing</x:v>
      </x:c>
      <x:c r="B13" s="330" t="n">
        <x:v>283</x:v>
      </x:c>
      <x:c r="C13" s="330" t="n">
        <x:v>255</x:v>
      </x:c>
      <x:c r="D13" s="330" t="n">
        <x:v>11.18</x:v>
      </x:c>
      <x:c r="E13" s="338" t="n">
        <x:v>0.486</x:v>
      </x:c>
      <x:c r="F13" s="330" t="n">
        <x:v>28</x:v>
      </x:c>
      <x:c r="G13" s="338" t="n">
        <x:v>0.134</x:v>
      </x:c>
      <x:c r="H13" s="330" t="n">
        <x:v>59</x:v>
      </x:c>
      <x:c r="I13" s="330" t="n">
        <x:v>44</x:v>
      </x:c>
      <x:c r="J13" s="336" t="n">
        <x:v>2997100</x:v>
      </x:c>
      <x:c r="K13" s="330" t="n">
        <x:v>229</x:v>
      </x:c>
    </x:row>
    <x:row r="14">
      <x:c r="A14" s="330" t="str">
        <x:v>Architectural</x:v>
      </x:c>
      <x:c r="B14" s="330" t="n">
        <x:v>495</x:v>
      </x:c>
      <x:c r="C14" s="330" t="n">
        <x:v>441</x:v>
      </x:c>
      <x:c r="D14" s="330" t="n">
        <x:v>10.89</x:v>
      </x:c>
      <x:c r="E14" s="338" t="n">
        <x:v>0.51</x:v>
      </x:c>
      <x:c r="F14" s="330" t="n">
        <x:v>53</x:v>
      </x:c>
      <x:c r="G14" s="338" t="n">
        <x:v>0.168</x:v>
      </x:c>
      <x:c r="H14" s="330" t="n">
        <x:v>99</x:v>
      </x:c>
      <x:c r="I14" s="330" t="n">
        <x:v>86</x:v>
      </x:c>
      <x:c r="J14" s="336" t="n">
        <x:v>3309000</x:v>
      </x:c>
      <x:c r="K14" s="330" t="n">
        <x:v>316</x:v>
      </x:c>
    </x:row>
    <x:row r="15">
      <x:c r="A15" s="330" t="str">
        <x:v>General</x:v>
      </x:c>
      <x:c r="B15" s="330" t="n">
        <x:v>275</x:v>
      </x:c>
      <x:c r="C15" s="330" t="n">
        <x:v>252</x:v>
      </x:c>
      <x:c r="D15" s="330" t="n">
        <x:v>9.46</x:v>
      </x:c>
      <x:c r="E15" s="338" t="n">
        <x:v>0.623</x:v>
      </x:c>
      <x:c r="F15" s="330" t="n">
        <x:v>22</x:v>
      </x:c>
      <x:c r="G15" s="338" t="n">
        <x:v>0.175</x:v>
      </x:c>
      <x:c r="H15" s="330" t="n">
        <x:v>56</x:v>
      </x:c>
      <x:c r="I15" s="330" t="n">
        <x:v>40</x:v>
      </x:c>
      <x:c r="J15" s="336" t="n">
        <x:v>2163300</x:v>
      </x:c>
      <x:c r="K15" s="330" t="n">
        <x:v>207</x:v>
      </x:c>
    </x:row>
  </x:sheetData>
  <x:mergeCells>
    <x:mergeCell ref="A1:K1"/>
    <x:mergeCell ref="A2:H3"/>
  </x:mergeCells>
  <x:conditionalFormatting sqref="D6:D15">
    <x:cfRule type="dataBar" priority="1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{0331DFBB-48A8-361A-172E-F93ABB065BC2}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4008fdbf7634ece"/>
  <x:tableParts count="1">
    <x:tablePart xmlns:r="http://schemas.openxmlformats.org/officeDocument/2006/relationships" r:id="Rb80c7be5821843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31DFBB-48A8-361A-172E-F93ABB065BC2}">
            <x14:dataBar gradient="1">
              <x14:cfvo type="min"/>
              <x14:cfvo type="max"/>
              <x14:fillColor rgb="FF1EA7C5"/>
            </x14:dataBar>
          </x14:cfRule>
          <xm:sqref>D6:D15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5" t="str">
        <x:v>RFI Performance by Type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Root-cause category, response, linkage, and cost/schedule impact.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RFI_Type</x:v>
      </x:c>
      <x:c r="B5" s="321" t="str">
        <x:v>RFI_Count</x:v>
      </x:c>
      <x:c r="C5" s="321" t="str">
        <x:v>Avg_Response_Days</x:v>
      </x:c>
      <x:c r="D5" s="321" t="str">
        <x:v>On_Time_Rate_Pct</x:v>
      </x:c>
      <x:c r="E5" s="321" t="str">
        <x:v>Overdue_Open_Count</x:v>
      </x:c>
      <x:c r="F5" s="321" t="str">
        <x:v>RFI_to_Change_Rate_Pct</x:v>
      </x:c>
      <x:c r="G5" s="321" t="str">
        <x:v>Cost_Impacted_Count</x:v>
      </x:c>
      <x:c r="H5" s="321" t="str">
        <x:v>Schedule_Impacted_Count</x:v>
      </x:c>
      <x:c r="I5" s="321" t="str">
        <x:v>Actual_Cost_Impact</x:v>
      </x:c>
      <x:c r="J5" s="321" t="str">
        <x:v>Actual_Schedule_Days</x:v>
      </x:c>
    </x:row>
    <x:row r="6">
      <x:c r="A6" s="330" t="str">
        <x:v>Coordination Conflict</x:v>
      </x:c>
      <x:c r="B6" s="330" t="n">
        <x:v>757</x:v>
      </x:c>
      <x:c r="C6" s="330" t="n">
        <x:v>12.32</x:v>
      </x:c>
      <x:c r="D6" s="338" t="n">
        <x:v>0.469</x:v>
      </x:c>
      <x:c r="E6" s="330" t="n">
        <x:v>78</x:v>
      </x:c>
      <x:c r="F6" s="338" t="n">
        <x:v>0.18899999999999997</x:v>
      </x:c>
      <x:c r="G6" s="330" t="n">
        <x:v>191</x:v>
      </x:c>
      <x:c r="H6" s="330" t="n">
        <x:v>136</x:v>
      </x:c>
      <x:c r="I6" s="336" t="n">
        <x:v>8225100</x:v>
      </x:c>
      <x:c r="J6" s="330" t="n">
        <x:v>533</x:v>
      </x:c>
    </x:row>
    <x:row r="7">
      <x:c r="A7" s="330" t="str">
        <x:v>Design Clarification</x:v>
      </x:c>
      <x:c r="B7" s="330" t="n">
        <x:v>872</x:v>
      </x:c>
      <x:c r="C7" s="330" t="n">
        <x:v>12.21</x:v>
      </x:c>
      <x:c r="D7" s="338" t="n">
        <x:v>0.473</x:v>
      </x:c>
      <x:c r="E7" s="330" t="n">
        <x:v>79</x:v>
      </x:c>
      <x:c r="F7" s="338" t="n">
        <x:v>0.133</x:v>
      </x:c>
      <x:c r="G7" s="330" t="n">
        <x:v>156</x:v>
      </x:c>
      <x:c r="H7" s="330" t="n">
        <x:v>117</x:v>
      </x:c>
      <x:c r="I7" s="336" t="n">
        <x:v>6777000</x:v>
      </x:c>
      <x:c r="J7" s="330" t="n">
        <x:v>449</x:v>
      </x:c>
    </x:row>
    <x:row r="8">
      <x:c r="A8" s="330" t="str">
        <x:v>Missing Information</x:v>
      </x:c>
      <x:c r="B8" s="330" t="n">
        <x:v>478</x:v>
      </x:c>
      <x:c r="C8" s="330" t="n">
        <x:v>12.25</x:v>
      </x:c>
      <x:c r="D8" s="338" t="n">
        <x:v>0.429</x:v>
      </x:c>
      <x:c r="E8" s="330" t="n">
        <x:v>46</x:v>
      </x:c>
      <x:c r="F8" s="338" t="n">
        <x:v>0.18</x:v>
      </x:c>
      <x:c r="G8" s="330" t="n">
        <x:v>111</x:v>
      </x:c>
      <x:c r="H8" s="330" t="n">
        <x:v>85</x:v>
      </x:c>
      <x:c r="I8" s="336" t="n">
        <x:v>4057500</x:v>
      </x:c>
      <x:c r="J8" s="330" t="n">
        <x:v>525</x:v>
      </x:c>
    </x:row>
    <x:row r="9">
      <x:c r="A9" s="330" t="str">
        <x:v>Constructability</x:v>
      </x:c>
      <x:c r="B9" s="330" t="n">
        <x:v>404</x:v>
      </x:c>
      <x:c r="C9" s="330" t="n">
        <x:v>11.76</x:v>
      </x:c>
      <x:c r="D9" s="338" t="n">
        <x:v>0.45899999999999996</x:v>
      </x:c>
      <x:c r="E9" s="330" t="n">
        <x:v>36</x:v>
      </x:c>
      <x:c r="F9" s="338" t="n">
        <x:v>0.163</x:v>
      </x:c>
      <x:c r="G9" s="330" t="n">
        <x:v>86</x:v>
      </x:c>
      <x:c r="H9" s="330" t="n">
        <x:v>63</x:v>
      </x:c>
      <x:c r="I9" s="336" t="n">
        <x:v>3651100</x:v>
      </x:c>
      <x:c r="J9" s="330" t="n">
        <x:v>269</x:v>
      </x:c>
    </x:row>
    <x:row r="10">
      <x:c r="A10" s="330" t="str">
        <x:v>Field Condition</x:v>
      </x:c>
      <x:c r="B10" s="330" t="n">
        <x:v>386</x:v>
      </x:c>
      <x:c r="C10" s="330" t="n">
        <x:v>12.12</x:v>
      </x:c>
      <x:c r="D10" s="338" t="n">
        <x:v>0.44</x:v>
      </x:c>
      <x:c r="E10" s="330" t="n">
        <x:v>25</x:v>
      </x:c>
      <x:c r="F10" s="338" t="n">
        <x:v>0.21</x:v>
      </x:c>
      <x:c r="G10" s="330" t="n">
        <x:v>111</x:v>
      </x:c>
      <x:c r="H10" s="330" t="n">
        <x:v>91</x:v>
      </x:c>
      <x:c r="I10" s="336" t="n">
        <x:v>3559900</x:v>
      </x:c>
      <x:c r="J10" s="330" t="n">
        <x:v>494</x:v>
      </x:c>
    </x:row>
    <x:row r="11">
      <x:c r="A11" s="330" t="str">
        <x:v>Substitution Request</x:v>
      </x:c>
      <x:c r="B11" s="330" t="n">
        <x:v>259</x:v>
      </x:c>
      <x:c r="C11" s="330" t="n">
        <x:v>12.65</x:v>
      </x:c>
      <x:c r="D11" s="338" t="n">
        <x:v>0.42200000000000004</x:v>
      </x:c>
      <x:c r="E11" s="330" t="n">
        <x:v>20</x:v>
      </x:c>
      <x:c r="F11" s="338" t="n">
        <x:v>0.19699999999999998</x:v>
      </x:c>
      <x:c r="G11" s="330" t="n">
        <x:v>58</x:v>
      </x:c>
      <x:c r="H11" s="330" t="n">
        <x:v>45</x:v>
      </x:c>
      <x:c r="I11" s="336" t="n">
        <x:v>2436100</x:v>
      </x:c>
      <x:c r="J11" s="330" t="n">
        <x:v>211</x:v>
      </x:c>
    </x:row>
    <x:row r="12">
      <x:c r="A12" s="330" t="str">
        <x:v>Code Compliance</x:v>
      </x:c>
      <x:c r="B12" s="330" t="n">
        <x:v>162</x:v>
      </x:c>
      <x:c r="C12" s="330" t="n">
        <x:v>12.31</x:v>
      </x:c>
      <x:c r="D12" s="338" t="n">
        <x:v>0.483</x:v>
      </x:c>
      <x:c r="E12" s="330" t="n">
        <x:v>11</x:v>
      </x:c>
      <x:c r="F12" s="338" t="n">
        <x:v>0.16</x:v>
      </x:c>
      <x:c r="G12" s="330" t="n">
        <x:v>33</x:v>
      </x:c>
      <x:c r="H12" s="330" t="n">
        <x:v>25</x:v>
      </x:c>
      <x:c r="I12" s="336" t="n">
        <x:v>901800</x:v>
      </x:c>
      <x:c r="J12" s="330" t="n">
        <x:v>91</x:v>
      </x:c>
    </x:row>
  </x:sheetData>
  <x:mergeCells>
    <x:mergeCell ref="A1:J1"/>
    <x:mergeCell ref="A2:H3"/>
  </x:mergeCells>
  <x:pageMargins left="0.7" right="0.7" top="0.75" bottom="0.75" header="0.3" footer="0.3"/>
  <x:drawing xmlns:r="http://schemas.openxmlformats.org/officeDocument/2006/relationships" r:id="R562baf74c1774493"/>
  <x:tableParts count="1">
    <x:tablePart xmlns:r="http://schemas.openxmlformats.org/officeDocument/2006/relationships" r:id="Rfc2a9fa7d3de4d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5" t="str">
        <x:v>Change Order Analysis by Category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Approved value, pending exposure, schedule impact, and cycle time.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Change_Category</x:v>
      </x:c>
      <x:c r="B5" s="321" t="str">
        <x:v>Change_Count</x:v>
      </x:c>
      <x:c r="C5" s="321" t="str">
        <x:v>Approved_Count</x:v>
      </x:c>
      <x:c r="D5" s="321" t="str">
        <x:v>Pending_Count</x:v>
      </x:c>
      <x:c r="E5" s="321" t="str">
        <x:v>Approved_Value</x:v>
      </x:c>
      <x:c r="F5" s="321" t="str">
        <x:v>Pending_Exposure</x:v>
      </x:c>
      <x:c r="G5" s="321" t="str">
        <x:v>Avg_Approval_Days</x:v>
      </x:c>
      <x:c r="H5" s="321" t="str">
        <x:v>Approved_Schedule_Days</x:v>
      </x:c>
      <x:c r="I5" s="321" t="str">
        <x:v>Linked_Change_Count</x:v>
      </x:c>
      <x:c r="J5" s="321" t="str">
        <x:v>Avg_Forecast_Lag_Days</x:v>
      </x:c>
    </x:row>
    <x:row r="6">
      <x:c r="A6" s="330" t="str">
        <x:v>Owner-Directed Change</x:v>
      </x:c>
      <x:c r="B6" s="330" t="n">
        <x:v>198</x:v>
      </x:c>
      <x:c r="C6" s="330" t="n">
        <x:v>126</x:v>
      </x:c>
      <x:c r="D6" s="330" t="n">
        <x:v>41</x:v>
      </x:c>
      <x:c r="E6" s="336" t="n">
        <x:v>44093100</x:v>
      </x:c>
      <x:c r="F6" s="336" t="n">
        <x:v>22849000</x:v>
      </x:c>
      <x:c r="G6" s="330" t="n">
        <x:v>32.33</x:v>
      </x:c>
      <x:c r="H6" s="330" t="n">
        <x:v>454</x:v>
      </x:c>
      <x:c r="I6" s="330" t="n">
        <x:v>46</x:v>
      </x:c>
      <x:c r="J6" s="330" t="n">
        <x:v>7.28</x:v>
      </x:c>
    </x:row>
    <x:row r="7">
      <x:c r="A7" s="330" t="str">
        <x:v>Design Error or Omission</x:v>
      </x:c>
      <x:c r="B7" s="330" t="n">
        <x:v>197</x:v>
      </x:c>
      <x:c r="C7" s="330" t="n">
        <x:v>118</x:v>
      </x:c>
      <x:c r="D7" s="330" t="n">
        <x:v>41</x:v>
      </x:c>
      <x:c r="E7" s="336" t="n">
        <x:v>40302400</x:v>
      </x:c>
      <x:c r="F7" s="336" t="n">
        <x:v>14907000</x:v>
      </x:c>
      <x:c r="G7" s="330" t="n">
        <x:v>32.92</x:v>
      </x:c>
      <x:c r="H7" s="330" t="n">
        <x:v>216</x:v>
      </x:c>
      <x:c r="I7" s="330" t="n">
        <x:v>135</x:v>
      </x:c>
      <x:c r="J7" s="330" t="n">
        <x:v>6.32</x:v>
      </x:c>
    </x:row>
    <x:row r="8">
      <x:c r="A8" s="330" t="str">
        <x:v>Unforeseen Condition</x:v>
      </x:c>
      <x:c r="B8" s="330" t="n">
        <x:v>168</x:v>
      </x:c>
      <x:c r="C8" s="330" t="n">
        <x:v>108</x:v>
      </x:c>
      <x:c r="D8" s="330" t="n">
        <x:v>29</x:v>
      </x:c>
      <x:c r="E8" s="336" t="n">
        <x:v>39882000</x:v>
      </x:c>
      <x:c r="F8" s="336" t="n">
        <x:v>17020000</x:v>
      </x:c>
      <x:c r="G8" s="330" t="n">
        <x:v>28.41</x:v>
      </x:c>
      <x:c r="H8" s="330" t="n">
        <x:v>275</x:v>
      </x:c>
      <x:c r="I8" s="330" t="n">
        <x:v>114</x:v>
      </x:c>
      <x:c r="J8" s="330" t="n">
        <x:v>6.9</x:v>
      </x:c>
    </x:row>
    <x:row r="9">
      <x:c r="A9" s="330" t="str">
        <x:v>Code or Regulatory Requirement</x:v>
      </x:c>
      <x:c r="B9" s="330" t="n">
        <x:v>78</x:v>
      </x:c>
      <x:c r="C9" s="330" t="n">
        <x:v>54</x:v>
      </x:c>
      <x:c r="D9" s="330" t="n">
        <x:v>10</x:v>
      </x:c>
      <x:c r="E9" s="336" t="n">
        <x:v>16442100</x:v>
      </x:c>
      <x:c r="F9" s="336" t="n">
        <x:v>6094000</x:v>
      </x:c>
      <x:c r="G9" s="330" t="n">
        <x:v>31.96</x:v>
      </x:c>
      <x:c r="H9" s="330" t="n">
        <x:v>66</x:v>
      </x:c>
      <x:c r="I9" s="330" t="n">
        <x:v>37</x:v>
      </x:c>
      <x:c r="J9" s="330" t="n">
        <x:v>6.32</x:v>
      </x:c>
    </x:row>
    <x:row r="10">
      <x:c r="A10" s="330" t="str">
        <x:v>Substitution</x:v>
      </x:c>
      <x:c r="B10" s="330" t="n">
        <x:v>94</x:v>
      </x:c>
      <x:c r="C10" s="330" t="n">
        <x:v>60</x:v>
      </x:c>
      <x:c r="D10" s="330" t="n">
        <x:v>22</x:v>
      </x:c>
      <x:c r="E10" s="336" t="n">
        <x:v>14284000</x:v>
      </x:c>
      <x:c r="F10" s="336" t="n">
        <x:v>6963000</x:v>
      </x:c>
      <x:c r="G10" s="330" t="n">
        <x:v>25.77</x:v>
      </x:c>
      <x:c r="H10" s="330" t="n">
        <x:v>81</x:v>
      </x:c>
      <x:c r="I10" s="330" t="n">
        <x:v>51</x:v>
      </x:c>
      <x:c r="J10" s="330" t="n">
        <x:v>6.47</x:v>
      </x:c>
    </x:row>
    <x:row r="11">
      <x:c r="A11" s="330" t="str">
        <x:v>Value Engineering</x:v>
      </x:c>
      <x:c r="B11" s="330" t="n">
        <x:v>93</x:v>
      </x:c>
      <x:c r="C11" s="330" t="n">
        <x:v>62</x:v>
      </x:c>
      <x:c r="D11" s="330" t="n">
        <x:v>19</x:v>
      </x:c>
      <x:c r="E11" s="336" t="n">
        <x:v>13922100</x:v>
      </x:c>
      <x:c r="F11" s="336" t="n">
        <x:v>5604000</x:v>
      </x:c>
      <x:c r="G11" s="330" t="n">
        <x:v>24.6</x:v>
      </x:c>
      <x:c r="H11" s="330" t="n">
        <x:v>149</x:v>
      </x:c>
      <x:c r="I11" s="330" t="n">
        <x:v>37</x:v>
      </x:c>
      <x:c r="J11" s="330" t="n">
        <x:v>5.55</x:v>
      </x:c>
    </x:row>
    <x:row r="12">
      <x:c r="A12" s="330" t="str">
        <x:v>Schedule Acceleration</x:v>
      </x:c>
      <x:c r="B12" s="330" t="n">
        <x:v>78</x:v>
      </x:c>
      <x:c r="C12" s="330" t="n">
        <x:v>49</x:v>
      </x:c>
      <x:c r="D12" s="330" t="n">
        <x:v>15</x:v>
      </x:c>
      <x:c r="E12" s="336" t="n">
        <x:v>13904000</x:v>
      </x:c>
      <x:c r="F12" s="336" t="n">
        <x:v>2254000</x:v>
      </x:c>
      <x:c r="G12" s="330" t="n">
        <x:v>30.04</x:v>
      </x:c>
      <x:c r="H12" s="330" t="n">
        <x:v>119</x:v>
      </x:c>
      <x:c r="I12" s="330" t="n">
        <x:v>41</x:v>
      </x:c>
      <x:c r="J12" s="330" t="n">
        <x:v>5.72</x:v>
      </x:c>
    </x:row>
    <x:row r="13">
      <x:c r="A13" s="330" t="str">
        <x:v>Quantity Variation</x:v>
      </x:c>
      <x:c r="B13" s="330" t="n">
        <x:v>106</x:v>
      </x:c>
      <x:c r="C13" s="330" t="n">
        <x:v>65</x:v>
      </x:c>
      <x:c r="D13" s="330" t="n">
        <x:v>19</x:v>
      </x:c>
      <x:c r="E13" s="336" t="n">
        <x:v>11806400</x:v>
      </x:c>
      <x:c r="F13" s="336" t="n">
        <x:v>6831000</x:v>
      </x:c>
      <x:c r="G13" s="330" t="n">
        <x:v>23.74</x:v>
      </x:c>
      <x:c r="H13" s="330" t="n">
        <x:v>119</x:v>
      </x:c>
      <x:c r="I13" s="330" t="n">
        <x:v>55</x:v>
      </x:c>
      <x:c r="J13" s="330" t="n">
        <x:v>7.9</x:v>
      </x:c>
    </x:row>
    <x:row r="14">
      <x:c r="A14" s="330" t="str">
        <x:v>Scope Clarification</x:v>
      </x:c>
      <x:c r="B14" s="330" t="n">
        <x:v>107</x:v>
      </x:c>
      <x:c r="C14" s="330" t="n">
        <x:v>64</x:v>
      </x:c>
      <x:c r="D14" s="330" t="n">
        <x:v>25</x:v>
      </x:c>
      <x:c r="E14" s="336" t="n">
        <x:v>9932200</x:v>
      </x:c>
      <x:c r="F14" s="336" t="n">
        <x:v>5582000</x:v>
      </x:c>
      <x:c r="G14" s="330" t="n">
        <x:v>24.53</x:v>
      </x:c>
      <x:c r="H14" s="330" t="n">
        <x:v>59</x:v>
      </x:c>
      <x:c r="I14" s="330" t="n">
        <x:v>61</x:v>
      </x:c>
      <x:c r="J14" s="330" t="n">
        <x:v>5.9</x:v>
      </x:c>
    </x:row>
  </x:sheetData>
  <x:mergeCells>
    <x:mergeCell ref="A1:J1"/>
    <x:mergeCell ref="A2:H3"/>
  </x:mergeCells>
  <x:pageMargins left="0.7" right="0.7" top="0.75" bottom="0.75" header="0.3" footer="0.3"/>
  <x:drawing xmlns:r="http://schemas.openxmlformats.org/officeDocument/2006/relationships" r:id="R31419d4a0b244dd1"/>
  <x:tableParts count="1">
    <x:tablePart xmlns:r="http://schemas.openxmlformats.org/officeDocument/2006/relationships" r:id="R0b809eacad0540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5" hidden="0" customWidth="1"/>
    <x:col min="4" max="4" width="14" hidden="0" customWidth="1"/>
    <x:col min="5" max="5" width="16" hidden="0" customWidth="1"/>
    <x:col min="6" max="6" width="18" hidden="0" customWidth="1"/>
    <x:col min="7" max="7" width="15" hidden="0" customWidth="1"/>
    <x:col min="8" max="8" width="18" hidden="0" customWidth="1"/>
  </x:cols>
  <x:sheetData>
    <x:row r="1" ht="32" customHeight="1">
      <x:c r="A1" s="5" t="str">
        <x:v>Workflow Bottleneck Analysis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Stage duration, volume, handoffs, and revision-loop concentration.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Item_Type</x:v>
      </x:c>
      <x:c r="B5" s="321" t="str">
        <x:v>To_Status</x:v>
      </x:c>
      <x:c r="C5" s="321" t="str">
        <x:v>Assigned_To_Role</x:v>
      </x:c>
      <x:c r="D5" s="321" t="str">
        <x:v>Event_Count</x:v>
      </x:c>
      <x:c r="E5" s="321" t="str">
        <x:v>Avg_Stage_Days</x:v>
      </x:c>
      <x:c r="F5" s="321" t="str">
        <x:v>Total_Stage_Days</x:v>
      </x:c>
      <x:c r="G5" s="321" t="str">
        <x:v>Handoff_Count</x:v>
      </x:c>
      <x:c r="H5" s="321" t="str">
        <x:v>Revision_Loop_Count</x:v>
      </x:c>
    </x:row>
    <x:row r="6">
      <x:c r="A6" s="330" t="str">
        <x:v>Change Order</x:v>
      </x:c>
      <x:c r="B6" s="330" t="str">
        <x:v>Approved</x:v>
      </x:c>
      <x:c r="C6" s="330" t="str">
        <x:v>Project Manager</x:v>
      </x:c>
      <x:c r="D6" s="330" t="n">
        <x:v>706</x:v>
      </x:c>
      <x:c r="E6" s="330" t="n">
        <x:v>20.31</x:v>
      </x:c>
      <x:c r="F6" s="330" t="n">
        <x:v>14335.35</x:v>
      </x:c>
      <x:c r="G6" s="330" t="n">
        <x:v>706</x:v>
      </x:c>
      <x:c r="H6" s="330" t="n">
        <x:v>0</x:v>
      </x:c>
    </x:row>
    <x:row r="7">
      <x:c r="A7" s="330" t="str">
        <x:v>RFI</x:v>
      </x:c>
      <x:c r="B7" s="330" t="str">
        <x:v>Closed</x:v>
      </x:c>
      <x:c r="C7" s="330" t="str">
        <x:v>Subcontractor</x:v>
      </x:c>
      <x:c r="D7" s="330" t="n">
        <x:v>948</x:v>
      </x:c>
      <x:c r="E7" s="330" t="n">
        <x:v>9.93</x:v>
      </x:c>
      <x:c r="F7" s="330" t="n">
        <x:v>9411.6</x:v>
      </x:c>
      <x:c r="G7" s="330" t="n">
        <x:v>756</x:v>
      </x:c>
      <x:c r="H7" s="330" t="n">
        <x:v>0</x:v>
      </x:c>
    </x:row>
    <x:row r="8">
      <x:c r="A8" s="330" t="str">
        <x:v>RFI</x:v>
      </x:c>
      <x:c r="B8" s="330" t="str">
        <x:v>Closed</x:v>
      </x:c>
      <x:c r="C8" s="330" t="str">
        <x:v>General Contractor</x:v>
      </x:c>
      <x:c r="D8" s="330" t="n">
        <x:v>925</x:v>
      </x:c>
      <x:c r="E8" s="330" t="n">
        <x:v>9.57</x:v>
      </x:c>
      <x:c r="F8" s="330" t="n">
        <x:v>8854.16</x:v>
      </x:c>
      <x:c r="G8" s="330" t="n">
        <x:v>696</x:v>
      </x:c>
      <x:c r="H8" s="330" t="n">
        <x:v>0</x:v>
      </x:c>
    </x:row>
    <x:row r="9">
      <x:c r="A9" s="330" t="str">
        <x:v>Change Order</x:v>
      </x:c>
      <x:c r="B9" s="330" t="str">
        <x:v>Returned for Revision</x:v>
      </x:c>
      <x:c r="C9" s="330" t="str">
        <x:v>Cost Manager</x:v>
      </x:c>
      <x:c r="D9" s="330" t="n">
        <x:v>512</x:v>
      </x:c>
      <x:c r="E9" s="330" t="n">
        <x:v>16.7</x:v>
      </x:c>
      <x:c r="F9" s="330" t="n">
        <x:v>8552.62</x:v>
      </x:c>
      <x:c r="G9" s="330" t="n">
        <x:v>511</x:v>
      </x:c>
      <x:c r="H9" s="330" t="n">
        <x:v>512</x:v>
      </x:c>
    </x:row>
    <x:row r="10">
      <x:c r="A10" s="330" t="str">
        <x:v>Change Order</x:v>
      </x:c>
      <x:c r="B10" s="330" t="str">
        <x:v>Submitted</x:v>
      </x:c>
      <x:c r="C10" s="330" t="str">
        <x:v>Owner Representative</x:v>
      </x:c>
      <x:c r="D10" s="330" t="n">
        <x:v>1117</x:v>
      </x:c>
      <x:c r="E10" s="330" t="n">
        <x:v>7.03</x:v>
      </x:c>
      <x:c r="F10" s="330" t="n">
        <x:v>7850.68</x:v>
      </x:c>
      <x:c r="G10" s="330" t="n">
        <x:v>1117</x:v>
      </x:c>
      <x:c r="H10" s="330" t="n">
        <x:v>0</x:v>
      </x:c>
    </x:row>
    <x:row r="11">
      <x:c r="A11" s="330" t="str">
        <x:v>RFI</x:v>
      </x:c>
      <x:c r="B11" s="330" t="str">
        <x:v>Returned for Clarification</x:v>
      </x:c>
      <x:c r="C11" s="330" t="str">
        <x:v>General Contractor</x:v>
      </x:c>
      <x:c r="D11" s="330" t="n">
        <x:v>344</x:v>
      </x:c>
      <x:c r="E11" s="330" t="n">
        <x:v>11.95</x:v>
      </x:c>
      <x:c r="F11" s="330" t="n">
        <x:v>4109.42</x:v>
      </x:c>
      <x:c r="G11" s="330" t="n">
        <x:v>344</x:v>
      </x:c>
      <x:c r="H11" s="330" t="n">
        <x:v>344</x:v>
      </x:c>
    </x:row>
    <x:row r="12">
      <x:c r="A12" s="330" t="str">
        <x:v>RFI</x:v>
      </x:c>
      <x:c r="B12" s="330" t="str">
        <x:v>Returned for Clarification</x:v>
      </x:c>
      <x:c r="C12" s="330" t="str">
        <x:v>Subcontractor</x:v>
      </x:c>
      <x:c r="D12" s="330" t="n">
        <x:v>308</x:v>
      </x:c>
      <x:c r="E12" s="330" t="n">
        <x:v>10.86</x:v>
      </x:c>
      <x:c r="F12" s="330" t="n">
        <x:v>3345.12</x:v>
      </x:c>
      <x:c r="G12" s="330" t="n">
        <x:v>308</x:v>
      </x:c>
      <x:c r="H12" s="330" t="n">
        <x:v>308</x:v>
      </x:c>
    </x:row>
    <x:row r="13">
      <x:c r="A13" s="330" t="str">
        <x:v>RFI</x:v>
      </x:c>
      <x:c r="B13" s="330" t="str">
        <x:v>Answered</x:v>
      </x:c>
      <x:c r="C13" s="330" t="str">
        <x:v>General Contractor</x:v>
      </x:c>
      <x:c r="D13" s="330" t="n">
        <x:v>350</x:v>
      </x:c>
      <x:c r="E13" s="330" t="n">
        <x:v>9.48</x:v>
      </x:c>
      <x:c r="F13" s="330" t="n">
        <x:v>3319.07</x:v>
      </x:c>
      <x:c r="G13" s="330" t="n">
        <x:v>267</x:v>
      </x:c>
      <x:c r="H13" s="330" t="n">
        <x:v>0</x:v>
      </x:c>
    </x:row>
    <x:row r="14">
      <x:c r="A14" s="330" t="str">
        <x:v>Change Order</x:v>
      </x:c>
      <x:c r="B14" s="330" t="str">
        <x:v>Rejected</x:v>
      </x:c>
      <x:c r="C14" s="330" t="str">
        <x:v>Project Manager</x:v>
      </x:c>
      <x:c r="D14" s="330" t="n">
        <x:v>113</x:v>
      </x:c>
      <x:c r="E14" s="330" t="n">
        <x:v>28.89</x:v>
      </x:c>
      <x:c r="F14" s="330" t="n">
        <x:v>3264.7</x:v>
      </x:c>
      <x:c r="G14" s="330" t="n">
        <x:v>113</x:v>
      </x:c>
      <x:c r="H14" s="330" t="n">
        <x:v>0</x:v>
      </x:c>
    </x:row>
    <x:row r="15">
      <x:c r="A15" s="330" t="str">
        <x:v>RFI</x:v>
      </x:c>
      <x:c r="B15" s="330" t="str">
        <x:v>Answered</x:v>
      </x:c>
      <x:c r="C15" s="330" t="str">
        <x:v>Subcontractor</x:v>
      </x:c>
      <x:c r="D15" s="330" t="n">
        <x:v>337</x:v>
      </x:c>
      <x:c r="E15" s="330" t="n">
        <x:v>9.64</x:v>
      </x:c>
      <x:c r="F15" s="330" t="n">
        <x:v>3247.93</x:v>
      </x:c>
      <x:c r="G15" s="330" t="n">
        <x:v>257</x:v>
      </x:c>
      <x:c r="H15" s="330" t="n">
        <x:v>0</x:v>
      </x:c>
    </x:row>
    <x:row r="16">
      <x:c r="A16" s="330" t="str">
        <x:v>RFI</x:v>
      </x:c>
      <x:c r="B16" s="330" t="str">
        <x:v>Closed</x:v>
      </x:c>
      <x:c r="C16" s="330" t="str">
        <x:v>Construction Manager</x:v>
      </x:c>
      <x:c r="D16" s="330" t="n">
        <x:v>332</x:v>
      </x:c>
      <x:c r="E16" s="330" t="n">
        <x:v>9.75</x:v>
      </x:c>
      <x:c r="F16" s="330" t="n">
        <x:v>3235.64</x:v>
      </x:c>
      <x:c r="G16" s="330" t="n">
        <x:v>229</x:v>
      </x:c>
      <x:c r="H16" s="330" t="n">
        <x:v>0</x:v>
      </x:c>
    </x:row>
    <x:row r="17">
      <x:c r="A17" s="330" t="str">
        <x:v>Change Order</x:v>
      </x:c>
      <x:c r="B17" s="330" t="str">
        <x:v>Pending</x:v>
      </x:c>
      <x:c r="C17" s="330" t="str">
        <x:v>Project Manager</x:v>
      </x:c>
      <x:c r="D17" s="330" t="n">
        <x:v>220</x:v>
      </x:c>
      <x:c r="E17" s="330" t="n">
        <x:v>14.03</x:v>
      </x:c>
      <x:c r="F17" s="330" t="n">
        <x:v>3086.36</x:v>
      </x:c>
      <x:c r="G17" s="330" t="n">
        <x:v>220</x:v>
      </x:c>
      <x:c r="H17" s="330" t="n">
        <x:v>0</x:v>
      </x:c>
    </x:row>
    <x:row r="18">
      <x:c r="A18" s="330" t="str">
        <x:v>Change Order</x:v>
      </x:c>
      <x:c r="B18" s="330" t="str">
        <x:v>Withdrawn</x:v>
      </x:c>
      <x:c r="C18" s="330" t="str">
        <x:v>Project Manager</x:v>
      </x:c>
      <x:c r="D18" s="330" t="n">
        <x:v>79</x:v>
      </x:c>
      <x:c r="E18" s="330" t="n">
        <x:v>22.33</x:v>
      </x:c>
      <x:c r="F18" s="330" t="n">
        <x:v>1763.96</x:v>
      </x:c>
      <x:c r="G18" s="330" t="n">
        <x:v>79</x:v>
      </x:c>
      <x:c r="H18" s="330" t="n">
        <x:v>0</x:v>
      </x:c>
    </x:row>
    <x:row r="19">
      <x:c r="A19" s="330" t="str">
        <x:v>RFI</x:v>
      </x:c>
      <x:c r="B19" s="330" t="str">
        <x:v>Returned for Clarification</x:v>
      </x:c>
      <x:c r="C19" s="330" t="str">
        <x:v>Construction Manager</x:v>
      </x:c>
      <x:c r="D19" s="330" t="n">
        <x:v>134</x:v>
      </x:c>
      <x:c r="E19" s="330" t="n">
        <x:v>11.01</x:v>
      </x:c>
      <x:c r="F19" s="330" t="n">
        <x:v>1475.78</x:v>
      </x:c>
      <x:c r="G19" s="330" t="n">
        <x:v>119</x:v>
      </x:c>
      <x:c r="H19" s="330" t="n">
        <x:v>134</x:v>
      </x:c>
    </x:row>
    <x:row r="20">
      <x:c r="A20" s="330" t="str">
        <x:v>RFI</x:v>
      </x:c>
      <x:c r="B20" s="330" t="str">
        <x:v>Answered</x:v>
      </x:c>
      <x:c r="C20" s="330" t="str">
        <x:v>Construction Manager</x:v>
      </x:c>
      <x:c r="D20" s="330" t="n">
        <x:v>127</x:v>
      </x:c>
      <x:c r="E20" s="330" t="n">
        <x:v>9.64</x:v>
      </x:c>
      <x:c r="F20" s="330" t="n">
        <x:v>1224.9</x:v>
      </x:c>
      <x:c r="G20" s="330" t="n">
        <x:v>81</x:v>
      </x:c>
      <x:c r="H20" s="330" t="n">
        <x:v>0</x:v>
      </x:c>
    </x:row>
    <x:row r="21">
      <x:c r="A21" s="330" t="str">
        <x:v>RFI</x:v>
      </x:c>
      <x:c r="B21" s="330" t="str">
        <x:v>In Review</x:v>
      </x:c>
      <x:c r="C21" s="330" t="str">
        <x:v>Engineer</x:v>
      </x:c>
      <x:c r="D21" s="330" t="n">
        <x:v>54</x:v>
      </x:c>
      <x:c r="E21" s="330" t="n">
        <x:v>7.41</x:v>
      </x:c>
      <x:c r="F21" s="330" t="n">
        <x:v>400.18</x:v>
      </x:c>
      <x:c r="G21" s="330" t="n">
        <x:v>4</x:v>
      </x:c>
      <x:c r="H21" s="330" t="n">
        <x:v>0</x:v>
      </x:c>
    </x:row>
    <x:row r="22">
      <x:c r="A22" s="330" t="str">
        <x:v>RFI</x:v>
      </x:c>
      <x:c r="B22" s="330" t="str">
        <x:v>Awaiting Designer</x:v>
      </x:c>
      <x:c r="C22" s="330" t="str">
        <x:v>Engineer</x:v>
      </x:c>
      <x:c r="D22" s="330" t="n">
        <x:v>39</x:v>
      </x:c>
      <x:c r="E22" s="330" t="n">
        <x:v>7.69</x:v>
      </x:c>
      <x:c r="F22" s="330" t="n">
        <x:v>299.81</x:v>
      </x:c>
      <x:c r="G22" s="330" t="n">
        <x:v>6</x:v>
      </x:c>
      <x:c r="H22" s="330" t="n">
        <x:v>0</x:v>
      </x:c>
    </x:row>
    <x:row r="23">
      <x:c r="A23" s="330" t="str">
        <x:v>RFI</x:v>
      </x:c>
      <x:c r="B23" s="330" t="str">
        <x:v>Open</x:v>
      </x:c>
      <x:c r="C23" s="330" t="str">
        <x:v>Engineer</x:v>
      </x:c>
      <x:c r="D23" s="330" t="n">
        <x:v>30</x:v>
      </x:c>
      <x:c r="E23" s="330" t="n">
        <x:v>7.41</x:v>
      </x:c>
      <x:c r="F23" s="330" t="n">
        <x:v>222.43</x:v>
      </x:c>
      <x:c r="G23" s="330" t="n">
        <x:v>7</x:v>
      </x:c>
      <x:c r="H23" s="330" t="n">
        <x:v>0</x:v>
      </x:c>
    </x:row>
    <x:row r="24">
      <x:c r="A24" s="330" t="str">
        <x:v>RFI</x:v>
      </x:c>
      <x:c r="B24" s="330" t="str">
        <x:v>Returned for Clarification</x:v>
      </x:c>
      <x:c r="C24" s="330" t="str">
        <x:v>Engineer</x:v>
      </x:c>
      <x:c r="D24" s="330" t="n">
        <x:v>24</x:v>
      </x:c>
      <x:c r="E24" s="330" t="n">
        <x:v>8.06</x:v>
      </x:c>
      <x:c r="F24" s="330" t="n">
        <x:v>193.49</x:v>
      </x:c>
      <x:c r="G24" s="330" t="n">
        <x:v>3</x:v>
      </x:c>
      <x:c r="H24" s="330" t="n">
        <x:v>24</x:v>
      </x:c>
    </x:row>
    <x:row r="25">
      <x:c r="A25" s="330" t="str">
        <x:v>RFI</x:v>
      </x:c>
      <x:c r="B25" s="330" t="str">
        <x:v>Awaiting Owner</x:v>
      </x:c>
      <x:c r="C25" s="330" t="str">
        <x:v>Engineer</x:v>
      </x:c>
      <x:c r="D25" s="330" t="n">
        <x:v>28</x:v>
      </x:c>
      <x:c r="E25" s="330" t="n">
        <x:v>5.93</x:v>
      </x:c>
      <x:c r="F25" s="330" t="n">
        <x:v>166.17</x:v>
      </x:c>
      <x:c r="G25" s="330" t="n">
        <x:v>7</x:v>
      </x:c>
      <x:c r="H25" s="330" t="n">
        <x:v>0</x:v>
      </x:c>
    </x:row>
    <x:row r="26">
      <x:c r="A26" s="330" t="str">
        <x:v>RFI</x:v>
      </x:c>
      <x:c r="B26" s="330" t="str">
        <x:v>Awaiting Owner</x:v>
      </x:c>
      <x:c r="C26" s="330" t="str">
        <x:v>Architect</x:v>
      </x:c>
      <x:c r="D26" s="330" t="n">
        <x:v>13</x:v>
      </x:c>
      <x:c r="E26" s="330" t="n">
        <x:v>8.79</x:v>
      </x:c>
      <x:c r="F26" s="330" t="n">
        <x:v>114.27</x:v>
      </x:c>
      <x:c r="G26" s="330" t="n">
        <x:v>2</x:v>
      </x:c>
      <x:c r="H26" s="330" t="n">
        <x:v>0</x:v>
      </x:c>
    </x:row>
    <x:row r="27">
      <x:c r="A27" s="330" t="str">
        <x:v>RFI</x:v>
      </x:c>
      <x:c r="B27" s="330" t="str">
        <x:v>In Review</x:v>
      </x:c>
      <x:c r="C27" s="330" t="str">
        <x:v>Architect</x:v>
      </x:c>
      <x:c r="D27" s="330" t="n">
        <x:v>16</x:v>
      </x:c>
      <x:c r="E27" s="330" t="n">
        <x:v>7.1</x:v>
      </x:c>
      <x:c r="F27" s="330" t="n">
        <x:v>113.66</x:v>
      </x:c>
      <x:c r="G27" s="330" t="n">
        <x:v>2</x:v>
      </x:c>
      <x:c r="H27" s="330" t="n">
        <x:v>0</x:v>
      </x:c>
    </x:row>
    <x:row r="28">
      <x:c r="A28" s="330" t="str">
        <x:v>RFI</x:v>
      </x:c>
      <x:c r="B28" s="330" t="str">
        <x:v>Awaiting Designer</x:v>
      </x:c>
      <x:c r="C28" s="330" t="str">
        <x:v>Owner Representative</x:v>
      </x:c>
      <x:c r="D28" s="330" t="n">
        <x:v>11</x:v>
      </x:c>
      <x:c r="E28" s="330" t="n">
        <x:v>6.64</x:v>
      </x:c>
      <x:c r="F28" s="330" t="n">
        <x:v>73.01</x:v>
      </x:c>
      <x:c r="G28" s="330" t="n">
        <x:v>2</x:v>
      </x:c>
      <x:c r="H28" s="330" t="n">
        <x:v>0</x:v>
      </x:c>
    </x:row>
  </x:sheetData>
  <x:mergeCells>
    <x:mergeCell ref="A1:H1"/>
    <x:mergeCell ref="A2:H3"/>
  </x:mergeCells>
  <x:conditionalFormatting sqref="F6:F28">
    <x:cfRule type="dataBar" priority="1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{5B6098E5-F5B0-FEEC-E4FB-05EE17EEC1ED}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ca22b6440ce4029"/>
  <x:tableParts count="1">
    <x:tablePart xmlns:r="http://schemas.openxmlformats.org/officeDocument/2006/relationships" r:id="R80906c2e0ca34f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6098E5-F5B0-FEEC-E4FB-05EE17EEC1ED}">
            <x14:dataBar gradient="1">
              <x14:cfvo type="min"/>
              <x14:cfvo type="max"/>
              <x14:fillColor rgb="FF1EA7C5"/>
            </x14:dataBar>
          </x14:cfRule>
          <xm:sqref>F6:F28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20" hidden="0" customWidth="1"/>
    <x:col min="5" max="5" width="16" hidden="0" customWidth="1"/>
    <x:col min="6" max="6" width="14" hidden="0" customWidth="1"/>
    <x:col min="7" max="7" width="21" hidden="0" customWidth="1"/>
    <x:col min="8" max="8" width="18" hidden="0" customWidth="1"/>
  </x:cols>
  <x:sheetData>
    <x:row r="1" ht="32" customHeight="1">
      <x:c r="A1" s="5" t="str">
        <x:v>Operating Segment Analysis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Decision profile and digital-coordination comparisons.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Segment_Type</x:v>
      </x:c>
      <x:c r="B5" s="321" t="str">
        <x:v>Segment</x:v>
      </x:c>
      <x:c r="C5" s="321" t="str">
        <x:v>RFI_Count</x:v>
      </x:c>
      <x:c r="D5" s="321" t="str">
        <x:v>Avg_RFI_Response_Days</x:v>
      </x:c>
      <x:c r="E5" s="321" t="str">
        <x:v>On_Time_Rate_Pct</x:v>
      </x:c>
      <x:c r="F5" s="321" t="str">
        <x:v>Change_Count</x:v>
      </x:c>
      <x:c r="G5" s="321" t="str">
        <x:v>Avg_Approval_Cycle_Days</x:v>
      </x:c>
      <x:c r="H5" s="321" t="str">
        <x:v>Pending_Exposure</x:v>
      </x:c>
    </x:row>
    <x:row r="6">
      <x:c r="A6" s="330" t="str">
        <x:v>Owner Decision Profile</x:v>
      </x:c>
      <x:c r="B6" s="330" t="str">
        <x:v>Fast</x:v>
      </x:c>
      <x:c r="C6" s="330" t="n">
        <x:v>597</x:v>
      </x:c>
      <x:c r="D6" s="330" t="n">
        <x:v>10.4</x:v>
      </x:c>
      <x:c r="E6" s="338" t="n">
        <x:v>0.528</x:v>
      </x:c>
      <x:c r="F6" s="330" t="n">
        <x:v>197</x:v>
      </x:c>
      <x:c r="G6" s="330" t="n">
        <x:v>24.36</x:v>
      </x:c>
      <x:c r="H6" s="336" t="n">
        <x:v>12516000</x:v>
      </x:c>
    </x:row>
    <x:row r="7">
      <x:c r="A7" s="330" t="str">
        <x:v>Owner Decision Profile</x:v>
      </x:c>
      <x:c r="B7" s="330" t="str">
        <x:v>Standard</x:v>
      </x:c>
      <x:c r="C7" s="330" t="n">
        <x:v>1905</x:v>
      </x:c>
      <x:c r="D7" s="330" t="n">
        <x:v>11.01</x:v>
      </x:c>
      <x:c r="E7" s="338" t="n">
        <x:v>0.515</x:v>
      </x:c>
      <x:c r="F7" s="330" t="n">
        <x:v>623</x:v>
      </x:c>
      <x:c r="G7" s="330" t="n">
        <x:v>26.01</x:v>
      </x:c>
      <x:c r="H7" s="336" t="n">
        <x:v>52494000</x:v>
      </x:c>
    </x:row>
    <x:row r="8">
      <x:c r="A8" s="330" t="str">
        <x:v>Owner Decision Profile</x:v>
      </x:c>
      <x:c r="B8" s="330" t="str">
        <x:v>Slow</x:v>
      </x:c>
      <x:c r="C8" s="330" t="n">
        <x:v>816</x:v>
      </x:c>
      <x:c r="D8" s="330" t="n">
        <x:v>16.45</x:v>
      </x:c>
      <x:c r="E8" s="338" t="n">
        <x:v>0.263</x:v>
      </x:c>
      <x:c r="F8" s="330" t="n">
        <x:v>299</x:v>
      </x:c>
      <x:c r="G8" s="330" t="n">
        <x:v>37.98</x:v>
      </x:c>
      <x:c r="H8" s="336" t="n">
        <x:v>23094000</x:v>
      </x:c>
    </x:row>
    <x:row r="9">
      <x:c r="A9" s="330" t="str">
        <x:v>Digital Coordination Level</x:v>
      </x:c>
      <x:c r="B9" s="330" t="str">
        <x:v>High</x:v>
      </x:c>
      <x:c r="C9" s="330" t="n">
        <x:v>881</x:v>
      </x:c>
      <x:c r="D9" s="330" t="n">
        <x:v>9.55</x:v>
      </x:c>
      <x:c r="E9" s="338" t="n">
        <x:v>0.62</x:v>
      </x:c>
      <x:c r="F9" s="330" t="n">
        <x:v>304</x:v>
      </x:c>
      <x:c r="G9" s="330" t="n">
        <x:v>26.39</x:v>
      </x:c>
      <x:c r="H9" s="336" t="n">
        <x:v>25448200</x:v>
      </x:c>
    </x:row>
    <x:row r="10">
      <x:c r="A10" s="330" t="str">
        <x:v>Digital Coordination Level</x:v>
      </x:c>
      <x:c r="B10" s="330" t="str">
        <x:v>Moderate</x:v>
      </x:c>
      <x:c r="C10" s="330" t="n">
        <x:v>1675</x:v>
      </x:c>
      <x:c r="D10" s="330" t="n">
        <x:v>12.63</x:v>
      </x:c>
      <x:c r="E10" s="338" t="n">
        <x:v>0.425</x:v>
      </x:c>
      <x:c r="F10" s="330" t="n">
        <x:v>567</x:v>
      </x:c>
      <x:c r="G10" s="330" t="n">
        <x:v>30.02</x:v>
      </x:c>
      <x:c r="H10" s="336" t="n">
        <x:v>48307800</x:v>
      </x:c>
    </x:row>
    <x:row r="11">
      <x:c r="A11" s="330" t="str">
        <x:v>Digital Coordination Level</x:v>
      </x:c>
      <x:c r="B11" s="330" t="str">
        <x:v>Low</x:v>
      </x:c>
      <x:c r="C11" s="330" t="n">
        <x:v>762</x:v>
      </x:c>
      <x:c r="D11" s="330" t="n">
        <x:v>14.39</x:v>
      </x:c>
      <x:c r="E11" s="338" t="n">
        <x:v>0.336</x:v>
      </x:c>
      <x:c r="F11" s="330" t="n">
        <x:v>248</x:v>
      </x:c>
      <x:c r="G11" s="330" t="n">
        <x:v>29.29</x:v>
      </x:c>
      <x:c r="H11" s="336" t="n">
        <x:v>14348000</x:v>
      </x:c>
    </x:row>
    <x:row r="15">
      <x:c r="A15" s="321" t="str">
        <x:v>Year</x:v>
      </x:c>
      <x:c r="B15" s="321" t="str">
        <x:v>RFI_Count</x:v>
      </x:c>
      <x:c r="C15" s="321" t="str">
        <x:v>Avg_RFI_Response_Days</x:v>
      </x:c>
      <x:c r="D15" s="321" t="str">
        <x:v>On_Time_Rate_Pct</x:v>
      </x:c>
      <x:c r="E15" s="321" t="str">
        <x:v>Change_Count</x:v>
      </x:c>
      <x:c r="F15" s="321" t="str">
        <x:v>Approved_Value</x:v>
      </x:c>
      <x:c r="G15" s="321" t="str">
        <x:v>Avg_Approval_Cycle_Days</x:v>
      </x:c>
      <x:c r="H15" s="321" t="str">
        <x:v>Pending_Exposure</x:v>
      </x:c>
    </x:row>
    <x:row r="16">
      <x:c r="A16" s="330" t="n">
        <x:v>2022</x:v>
      </x:c>
      <x:c r="B16" s="330" t="n">
        <x:v>849</x:v>
      </x:c>
      <x:c r="C16" s="330" t="n">
        <x:v>12.17</x:v>
      </x:c>
      <x:c r="D16" s="338" t="n">
        <x:v>0.475</x:v>
      </x:c>
      <x:c r="E16" s="330" t="n">
        <x:v>280</x:v>
      </x:c>
      <x:c r="F16" s="336" t="n">
        <x:v>60931300</x:v>
      </x:c>
      <x:c r="G16" s="330" t="n">
        <x:v>27.77</x:v>
      </x:c>
      <x:c r="H16" s="336" t="n">
        <x:v>25670800</x:v>
      </x:c>
    </x:row>
    <x:row r="17">
      <x:c r="A17" s="330" t="n">
        <x:v>2023</x:v>
      </x:c>
      <x:c r="B17" s="330" t="n">
        <x:v>1011</x:v>
      </x:c>
      <x:c r="C17" s="330" t="n">
        <x:v>12.67</x:v>
      </x:c>
      <x:c r="D17" s="338" t="n">
        <x:v>0.419</x:v>
      </x:c>
      <x:c r="E17" s="330" t="n">
        <x:v>355</x:v>
      </x:c>
      <x:c r="F17" s="336" t="n">
        <x:v>66323500</x:v>
      </x:c>
      <x:c r="G17" s="330" t="n">
        <x:v>28.76</x:v>
      </x:c>
      <x:c r="H17" s="336" t="n">
        <x:v>22475200</x:v>
      </x:c>
    </x:row>
    <x:row r="18">
      <x:c r="A18" s="330" t="n">
        <x:v>2024</x:v>
      </x:c>
      <x:c r="B18" s="330" t="n">
        <x:v>958</x:v>
      </x:c>
      <x:c r="C18" s="330" t="n">
        <x:v>12.13</x:v>
      </x:c>
      <x:c r="D18" s="338" t="n">
        <x:v>0.456</x:v>
      </x:c>
      <x:c r="E18" s="330" t="n">
        <x:v>320</x:v>
      </x:c>
      <x:c r="F18" s="336" t="n">
        <x:v>44240500</x:v>
      </x:c>
      <x:c r="G18" s="330" t="n">
        <x:v>31.38</x:v>
      </x:c>
      <x:c r="H18" s="336" t="n">
        <x:v>23242000</x:v>
      </x:c>
    </x:row>
    <x:row r="19">
      <x:c r="A19" s="330" t="n">
        <x:v>2025</x:v>
      </x:c>
      <x:c r="B19" s="330" t="n">
        <x:v>500</x:v>
      </x:c>
      <x:c r="C19" s="330" t="n">
        <x:v>11.52</x:v>
      </x:c>
      <x:c r="D19" s="338" t="n">
        <x:v>0.506</x:v>
      </x:c>
      <x:c r="E19" s="330" t="n">
        <x:v>164</x:v>
      </x:c>
      <x:c r="F19" s="336" t="n">
        <x:v>33073000</x:v>
      </x:c>
      <x:c r="G19" s="330" t="n">
        <x:v>26.49</x:v>
      </x:c>
      <x:c r="H19" s="336" t="n">
        <x:v>16716000</x:v>
      </x:c>
    </x:row>
  </x:sheetData>
  <x:mergeCells>
    <x:mergeCell ref="A1:H1"/>
    <x:mergeCell ref="A2:H3"/>
  </x:mergeCells>
  <x:pageMargins left="0.7" right="0.7" top="0.75" bottom="0.75" header="0.3" footer="0.3"/>
  <x:drawing xmlns:r="http://schemas.openxmlformats.org/officeDocument/2006/relationships" r:id="R56adcda2c7ec4f37"/>
  <x:tableParts count="2">
    <x:tablePart xmlns:r="http://schemas.openxmlformats.org/officeDocument/2006/relationships" r:id="R33a10863a2314782"/>
    <x:tablePart xmlns:r="http://schemas.openxmlformats.org/officeDocument/2006/relationships" r:id="R57d1f1d6b1a84ff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20" hidden="0" customWidth="1"/>
    <x:col min="3" max="3" width="14" hidden="0" customWidth="1"/>
    <x:col min="4" max="4" width="16" hidden="0" customWidth="1"/>
    <x:col min="5" max="5" width="11" hidden="0" customWidth="1"/>
    <x:col min="6" max="6" width="72" hidden="0" customWidth="1"/>
  </x:cols>
  <x:sheetData>
    <x:row r="1" ht="32" customHeight="1">
      <x:c r="A1" s="5" t="str">
        <x:v>Statistical Associations</x:v>
      </x:c>
      <x:c r="B1" s="5"/>
      <x:c r="C1" s="5"/>
      <x:c r="D1" s="5"/>
      <x:c r="E1" s="5"/>
      <x:c r="F1" s="5"/>
    </x:row>
    <x:row r="2">
      <x:c r="A2" s="13" t="str">
        <x:v>Synthetic-data relationships; correlation does not establish causation.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Relationship</x:v>
      </x:c>
      <x:c r="B5" s="321" t="str">
        <x:v>Method</x:v>
      </x:c>
      <x:c r="C5" s="321" t="str">
        <x:v>Statistic</x:v>
      </x:c>
      <x:c r="D5" s="321" t="str">
        <x:v>P_Value</x:v>
      </x:c>
      <x:c r="E5" s="321" t="str">
        <x:v>N</x:v>
      </x:c>
      <x:c r="F5" s="321" t="str">
        <x:v>Interpretation</x:v>
      </x:c>
    </x:row>
    <x:row r="6">
      <x:c r="A6" s="330" t="str">
        <x:v>RFI response days vs cost-impact flag</x:v>
      </x:c>
      <x:c r="B6" s="330" t="str">
        <x:v>Point-biserial r</x:v>
      </x:c>
      <x:c r="C6" s="340" t="n">
        <x:v>0.2891</x:v>
      </x:c>
      <x:c r="D6" s="342" t="n">
        <x:v>3.2755833348079883e-59</x:v>
      </x:c>
      <x:c r="E6" s="330" t="n">
        <x:v>3019</x:v>
      </x:c>
      <x:c r="F6" s="330" t="str">
        <x:v>Longer response time shows a moderate positive association with cost impact.</x:v>
      </x:c>
    </x:row>
    <x:row r="7">
      <x:c r="A7" s="330" t="str">
        <x:v>RFI response days vs schedule-impact flag</x:v>
      </x:c>
      <x:c r="B7" s="330" t="str">
        <x:v>Point-biserial r</x:v>
      </x:c>
      <x:c r="C7" s="340" t="n">
        <x:v>0.2336</x:v>
      </x:c>
      <x:c r="D7" s="342" t="n">
        <x:v>1.062218891934284e-38</x:v>
      </x:c>
      <x:c r="E7" s="330" t="n">
        <x:v>3019</x:v>
      </x:c>
      <x:c r="F7" s="330" t="str">
        <x:v>Longer response time shows a modest positive association with schedule impact.</x:v>
      </x:c>
    </x:row>
    <x:row r="8">
      <x:c r="A8" s="330" t="str">
        <x:v>RFI response days vs linked-to-change flag</x:v>
      </x:c>
      <x:c r="B8" s="330" t="str">
        <x:v>Point-biserial r</x:v>
      </x:c>
      <x:c r="C8" s="340" t="n">
        <x:v>0.0431</x:v>
      </x:c>
      <x:c r="D8" s="342" t="n">
        <x:v>0.017754746060539915</x:v>
      </x:c>
      <x:c r="E8" s="330" t="n">
        <x:v>3019</x:v>
      </x:c>
      <x:c r="F8" s="330" t="str">
        <x:v>Response time alone has only a weak association with later change linkage.</x:v>
      </x:c>
    </x:row>
    <x:row r="9">
      <x:c r="A9" s="330" t="str">
        <x:v>RFI revision count vs response days</x:v>
      </x:c>
      <x:c r="B9" s="330" t="str">
        <x:v>Spearman rho</x:v>
      </x:c>
      <x:c r="C9" s="340" t="n">
        <x:v>0.4315</x:v>
      </x:c>
      <x:c r="D9" s="342" t="n">
        <x:v>3.441198842526866e-137</x:v>
      </x:c>
      <x:c r="E9" s="330" t="n">
        <x:v>3019</x:v>
      </x:c>
      <x:c r="F9" s="330" t="str">
        <x:v>More revision activity is moderately associated with longer response cycles.</x:v>
      </x:c>
    </x:row>
    <x:row r="10">
      <x:c r="A10" s="330" t="str">
        <x:v>RFI reopen count vs response days</x:v>
      </x:c>
      <x:c r="B10" s="330" t="str">
        <x:v>Spearman rho</x:v>
      </x:c>
      <x:c r="C10" s="340" t="n">
        <x:v>0.265</x:v>
      </x:c>
      <x:c r="D10" s="342" t="n">
        <x:v>1.0601705450064105e-49</x:v>
      </x:c>
      <x:c r="E10" s="330" t="n">
        <x:v>3019</x:v>
      </x:c>
      <x:c r="F10" s="330" t="str">
        <x:v>Reopened RFIs are associated with longer response cycles.</x:v>
      </x:c>
    </x:row>
    <x:row r="11">
      <x:c r="A11" s="330" t="str">
        <x:v>RFI response quality vs response days</x:v>
      </x:c>
      <x:c r="B11" s="330" t="str">
        <x:v>Spearman rho</x:v>
      </x:c>
      <x:c r="C11" s="340" t="n">
        <x:v>-0.5102</x:v>
      </x:c>
      <x:c r="D11" s="342" t="n">
        <x:v>8.706704941950853e-200</x:v>
      </x:c>
      <x:c r="E11" s="330" t="n">
        <x:v>3019</x:v>
      </x:c>
      <x:c r="F11" s="330" t="str">
        <x:v>Longer response cycles are associated with lower response-quality ratings in the synthetic data.</x:v>
      </x:c>
    </x:row>
    <x:row r="12">
      <x:c r="A12" s="330" t="str">
        <x:v>Change revision count vs approval days</x:v>
      </x:c>
      <x:c r="B12" s="330" t="str">
        <x:v>Spearman rho</x:v>
      </x:c>
      <x:c r="C12" s="340" t="n">
        <x:v>0.4683</x:v>
      </x:c>
      <x:c r="D12" s="342" t="n">
        <x:v>9.057952799274925e-40</x:v>
      </x:c>
      <x:c r="E12" s="330" t="n">
        <x:v>706</x:v>
      </x:c>
      <x:c r="F12" s="330" t="str">
        <x:v>More change revisions are moderately associated with longer approval cycles.</x:v>
      </x:c>
    </x:row>
    <x:row r="13">
      <x:c r="A13" s="330" t="str">
        <x:v>Change submitted value vs approval days</x:v>
      </x:c>
      <x:c r="B13" s="330" t="str">
        <x:v>Spearman rho</x:v>
      </x:c>
      <x:c r="C13" s="340" t="n">
        <x:v>0.0222</x:v>
      </x:c>
      <x:c r="D13" s="342" t="n">
        <x:v>0.5565908941902845</x:v>
      </x:c>
      <x:c r="E13" s="330" t="n">
        <x:v>706</x:v>
      </x:c>
      <x:c r="F13" s="330" t="str">
        <x:v>Change size has little association with approval cycle in this portfolio.</x:v>
      </x:c>
    </x:row>
    <x:row r="14">
      <x:c r="A14" s="330" t="str">
        <x:v>Change linked-to-RFI flag vs approval days</x:v>
      </x:c>
      <x:c r="B14" s="330" t="str">
        <x:v>Point-biserial r</x:v>
      </x:c>
      <x:c r="C14" s="340" t="n">
        <x:v>0.001</x:v>
      </x:c>
      <x:c r="D14" s="342" t="n">
        <x:v>0.9780864441343923</x:v>
      </x:c>
      <x:c r="E14" s="330" t="n">
        <x:v>706</x:v>
      </x:c>
      <x:c r="F14" s="330" t="str">
        <x:v>Linked and unlinked changes have essentially the same approval-cycle distribution.</x:v>
      </x:c>
    </x:row>
    <x:row r="15">
      <x:c r="A15" s="330" t="str">
        <x:v>Project average RFI response vs average change approval cycle</x:v>
      </x:c>
      <x:c r="B15" s="330" t="str">
        <x:v>Pearson r</x:v>
      </x:c>
      <x:c r="C15" s="340" t="n">
        <x:v>0.8172</x:v>
      </x:c>
      <x:c r="D15" s="342" t="n">
        <x:v>8.9472646960944e-23</x:v>
      </x:c>
      <x:c r="E15" s="330" t="n">
        <x:v>90</x:v>
      </x:c>
      <x:c r="F15" s="330" t="str">
        <x:v>Projects with slower RFI response also tend to have slower change approval; this is the strongest tested portfolio-level relationship.</x:v>
      </x:c>
    </x:row>
    <x:row r="16">
      <x:c r="A16" s="330" t="str">
        <x:v>Project average RFI response vs average change approval cycle</x:v>
      </x:c>
      <x:c r="B16" s="330" t="str">
        <x:v>Spearman rho</x:v>
      </x:c>
      <x:c r="C16" s="340" t="n">
        <x:v>0.8038</x:v>
      </x:c>
      <x:c r="D16" s="342" t="n">
        <x:v>1.4812439149790831e-21</x:v>
      </x:c>
      <x:c r="E16" s="330" t="n">
        <x:v>90</x:v>
      </x:c>
      <x:c r="F16" s="330" t="str">
        <x:v>The strong monotonic relationship is consistent with the Pearson result.</x:v>
      </x:c>
    </x:row>
  </x:sheetData>
  <x:mergeCells>
    <x:mergeCell ref="A1:F1"/>
    <x:mergeCell ref="A2:H3"/>
  </x:mergeCells>
  <x:conditionalFormatting sqref="C6:C16">
    <x:cfRule type="colorScale" priority="1">
      <x:colorScale>
        <x:cfvo type="min"/>
        <x:cfvo type="percentile" val="50"/>
        <x:cfvo type="max"/>
        <x:color rgb="FFFCE2E0"/>
        <x:color rgb="FFFFF2CC"/>
        <x:color rgb="FFDDEF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6f9cc9d5c4455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  <x:col min="3" max="3" width="16" hidden="0" customWidth="1"/>
    <x:col min="4" max="4" width="16" hidden="0" customWidth="1"/>
    <x:col min="5" max="5" width="36" hidden="0" customWidth="1"/>
    <x:col min="6" max="6" width="72" hidden="0" customWidth="1"/>
    <x:col min="7" max="7" width="16" hidden="0" customWidth="1"/>
  </x:cols>
  <x:sheetData>
    <x:row r="1" ht="32" customHeight="1">
      <x:c r="A1" s="5" t="str">
        <x:v>Exploratory RFI-to-Change Models</x:v>
      </x:c>
      <x:c r="B1" s="5"/>
      <x:c r="C1" s="5"/>
      <x:c r="D1" s="5"/>
      <x:c r="E1" s="5"/>
      <x:c r="F1" s="5"/>
      <x:c r="G1" s="5"/>
    </x:row>
    <x:row r="2">
      <x:c r="A2" s="13" t="str">
        <x:v>Diagnostic evidence only. No model is approved for production use.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321" t="str">
        <x:v>Model</x:v>
      </x:c>
      <x:c r="B5" s="321" t="str">
        <x:v>Available_Information</x:v>
      </x:c>
      <x:c r="C5" s="321" t="str">
        <x:v>Mean_CV_AUC</x:v>
      </x:c>
      <x:c r="D5" s="321" t="str">
        <x:v>Std_CV_AUC</x:v>
      </x:c>
      <x:c r="E5" s="321" t="str">
        <x:v>Fold_AUCs</x:v>
      </x:c>
      <x:c r="F5" s="321" t="str">
        <x:v>Interpretation</x:v>
      </x:c>
      <x:c r="G5" s="321" t="str">
        <x:v>Production_Use</x:v>
      </x:c>
    </x:row>
    <x:row r="6">
      <x:c r="A6" s="330" t="str">
        <x:v>Submission-only exploratory logistic model</x:v>
      </x:c>
      <x:c r="B6" s="330" t="str">
        <x:v>Priority, RFI type, discipline, roles, drawing count, project attributes</x:v>
      </x:c>
      <x:c r="C6" s="340" t="n">
        <x:v>0.5096</x:v>
      </x:c>
      <x:c r="D6" s="340" t="n">
        <x:v>0.0206</x:v>
      </x:c>
      <x:c r="E6" s="330" t="str">
        <x:v>0.4965; 0.4893; 0.5319; 0.5372; 0.4932</x:v>
      </x:c>
      <x:c r="F6" s="330" t="str">
        <x:v>Performance is near chance; submission attributes alone do not identify later change linkage in this synthetic portfolio.</x:v>
      </x:c>
      <x:c r="G6" s="345" t="str">
        <x:v>No</x:v>
      </x:c>
    </x:row>
    <x:row r="7">
      <x:c r="A7" s="330" t="str">
        <x:v>Diagnostic exploratory logistic model</x:v>
      </x:c>
      <x:c r="B7" s="330" t="str">
        <x:v>Submission attributes plus response, revision, quality, and impact indicators</x:v>
      </x:c>
      <x:c r="C7" s="340" t="n">
        <x:v>0.6311</x:v>
      </x:c>
      <x:c r="D7" s="340" t="n">
        <x:v>0.0307</x:v>
      </x:c>
      <x:c r="E7" s="330" t="str">
        <x:v>0.6375; 0.6451; 0.6686; 0.5758; 0.6284</x:v>
      </x:c>
      <x:c r="F7" s="330" t="str">
        <x:v>Post-submission workflow and impact indicators improve discrimination, but performance remains moderate.</x:v>
      </x:c>
      <x:c r="G7" s="345" t="str">
        <x:v>No</x:v>
      </x:c>
    </x:row>
    <x:row r="11">
      <x:c r="A11" s="13" t="str">
        <x:v>Governance conclusion: submission-only attributes were approximately chance-level (AUC 0.510). Post-submission workflow and impact indicators improved AUC to 0.631, but some occur after the initial decision point. A real deployment would require temporal validation, leakage controls, calibration, subgroup testing, monitoring, and stakeholder acceptance.</x:v>
      </x:c>
      <x:c r="B11" s="13"/>
      <x:c r="C11" s="13"/>
      <x:c r="D11" s="13"/>
      <x:c r="E11" s="13"/>
      <x:c r="F11" s="13"/>
      <x:c r="G11" s="13"/>
    </x:row>
    <x:row r="12">
      <x:c r="A12" s="13"/>
      <x:c r="B12" s="13"/>
      <x:c r="C12" s="13"/>
      <x:c r="D12" s="13"/>
      <x:c r="E12" s="13"/>
      <x:c r="F12" s="13"/>
      <x:c r="G12" s="13"/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/>
      <x:c r="B15" s="13"/>
      <x:c r="C15" s="13"/>
      <x:c r="D15" s="13"/>
      <x:c r="E15" s="13"/>
      <x:c r="F15" s="13"/>
      <x:c r="G15" s="13"/>
    </x:row>
  </x:sheetData>
  <x:mergeCells>
    <x:mergeCell ref="A1:G1"/>
    <x:mergeCell ref="A2:H3"/>
    <x:mergeCell ref="A11:G15"/>
  </x:mergeCells>
  <x:pageMargins left="0.7" right="0.7" top="0.75" bottom="0.75" header="0.3" footer="0.3"/>
  <x:tableParts count="1">
    <x:tablePart xmlns:r="http://schemas.openxmlformats.org/officeDocument/2006/relationships" r:id="Reb3f369b571e41c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18" hidden="0" customWidth="1"/>
    <x:col min="5" max="5" width="35" hidden="0" customWidth="1"/>
  </x:cols>
  <x:sheetData>
    <x:row r="1" ht="32" customHeight="1">
      <x:c r="A1" s="5" t="str">
        <x:v>Workflow Risk Thresholds</x:v>
      </x:c>
      <x:c r="B1" s="5"/>
      <x:c r="C1" s="5"/>
      <x:c r="D1" s="5"/>
      <x:c r="E1" s="5"/>
    </x:row>
    <x:row r="2">
      <x:c r="A2" s="13" t="str">
        <x:v>Case-study assumptions used for transparent project prioritization.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21" t="str">
        <x:v>Indicator</x:v>
      </x:c>
      <x:c r="B4" s="321" t="str">
        <x:v>Yellow Threshold</x:v>
      </x:c>
      <x:c r="C4" s="321" t="str">
        <x:v>Red Threshold</x:v>
      </x:c>
      <x:c r="D4" s="321" t="str">
        <x:v>Workbook Input</x:v>
      </x:c>
      <x:c r="E4" s="321" t="str">
        <x:v>Interpretation</x:v>
      </x:c>
    </x:row>
    <x:row r="5">
      <x:c r="A5" s="330" t="str">
        <x:v>Average RFI response</x:v>
      </x:c>
      <x:c r="B5" s="330" t="n">
        <x:v>10</x:v>
      </x:c>
      <x:c r="C5" s="330" t="n">
        <x:v>15</x:v>
      </x:c>
      <x:c r="D5" s="330" t="str">
        <x:v>days</x:v>
      </x:c>
      <x:c r="E5" s="330" t="str">
        <x:v>Higher is worse</x:v>
      </x:c>
    </x:row>
    <x:row r="6">
      <x:c r="A6" s="330" t="str">
        <x:v>Overdue open rate</x:v>
      </x:c>
      <x:c r="B6" s="338" t="n">
        <x:v>0.15</x:v>
      </x:c>
      <x:c r="C6" s="338" t="n">
        <x:v>0.3</x:v>
      </x:c>
      <x:c r="D6" s="330" t="str">
        <x:v>percent</x:v>
      </x:c>
      <x:c r="E6" s="330" t="str">
        <x:v>Higher is worse</x:v>
      </x:c>
    </x:row>
    <x:row r="7">
      <x:c r="A7" s="330" t="str">
        <x:v>High/Critical overdue rate</x:v>
      </x:c>
      <x:c r="B7" s="338" t="n">
        <x:v>0.02</x:v>
      </x:c>
      <x:c r="C7" s="338" t="n">
        <x:v>0.05</x:v>
      </x:c>
      <x:c r="D7" s="330" t="str">
        <x:v>percent</x:v>
      </x:c>
      <x:c r="E7" s="330" t="str">
        <x:v>Higher is worse</x:v>
      </x:c>
    </x:row>
    <x:row r="8">
      <x:c r="A8" s="330" t="str">
        <x:v>Average change approval</x:v>
      </x:c>
      <x:c r="B8" s="330" t="n">
        <x:v>20</x:v>
      </x:c>
      <x:c r="C8" s="330" t="n">
        <x:v>35</x:v>
      </x:c>
      <x:c r="D8" s="330" t="str">
        <x:v>days</x:v>
      </x:c>
      <x:c r="E8" s="330" t="str">
        <x:v>Higher is worse</x:v>
      </x:c>
    </x:row>
    <x:row r="9">
      <x:c r="A9" s="330" t="str">
        <x:v>Pending exposure / budget</x:v>
      </x:c>
      <x:c r="B9" s="334" t="n">
        <x:v>0.005</x:v>
      </x:c>
      <x:c r="C9" s="334" t="n">
        <x:v>0.015</x:v>
      </x:c>
      <x:c r="D9" s="330" t="str">
        <x:v>percent</x:v>
      </x:c>
      <x:c r="E9" s="330" t="str">
        <x:v>Higher is worse</x:v>
      </x:c>
    </x:row>
    <x:row r="10">
      <x:c r="A10" s="330" t="str">
        <x:v>Average forecast lag</x:v>
      </x:c>
      <x:c r="B10" s="330" t="n">
        <x:v>5</x:v>
      </x:c>
      <x:c r="C10" s="330" t="n">
        <x:v>10</x:v>
      </x:c>
      <x:c r="D10" s="330" t="str">
        <x:v>days</x:v>
      </x:c>
      <x:c r="E10" s="330" t="str">
        <x:v>Higher is worse</x:v>
      </x:c>
    </x:row>
    <x:row r="11">
      <x:c r="A11" s="330" t="str">
        <x:v>Approved not incorporated rate</x:v>
      </x:c>
      <x:c r="B11" s="338" t="n">
        <x:v>0.05</x:v>
      </x:c>
      <x:c r="C11" s="338" t="n">
        <x:v>0.15</x:v>
      </x:c>
      <x:c r="D11" s="330" t="str">
        <x:v>percent</x:v>
      </x:c>
      <x:c r="E11" s="330" t="str">
        <x:v>Higher is worse</x:v>
      </x:c>
    </x:row>
    <x:row r="13">
      <x:c r="A13" s="321" t="str">
        <x:v>Overall Status</x:v>
      </x:c>
      <x:c r="B13" s="321" t="str">
        <x:v>Yellow Minimum</x:v>
      </x:c>
      <x:c r="C13" s="321" t="str">
        <x:v>Red Minimum</x:v>
      </x:c>
    </x:row>
    <x:row r="14">
      <x:c r="A14" t="str">
        <x:v>Risk Score</x:v>
      </x:c>
      <x:c r="B14" t="n">
        <x:v>3</x:v>
      </x:c>
      <x:c r="C14" t="n">
        <x:v>6</x:v>
      </x:c>
    </x:row>
    <x:row r="17">
      <x:c r="A17" s="350" t="str">
        <x:v>Scoring: each indicator receives 0 points when Green, 1 point when Yellow, and 2 points when Red. Overall status is Green for 0–2 points, Yellow for 3–5 points, and Red for 6 or more points. The thresholds are portfolio assumptions, not universal standards.</x:v>
      </x:c>
      <x:c r="B17" s="350"/>
      <x:c r="C17" s="350"/>
      <x:c r="D17" s="350"/>
      <x:c r="E17" s="350"/>
    </x:row>
    <x:row r="18">
      <x:c r="A18" s="350"/>
      <x:c r="B18" s="350"/>
      <x:c r="C18" s="350"/>
      <x:c r="D18" s="350"/>
      <x:c r="E18" s="350"/>
    </x:row>
    <x:row r="19">
      <x:c r="A19" s="350"/>
      <x:c r="B19" s="350"/>
      <x:c r="C19" s="350"/>
      <x:c r="D19" s="350"/>
      <x:c r="E19" s="350"/>
    </x:row>
    <x:row r="20">
      <x:c r="A20" s="350"/>
      <x:c r="B20" s="350"/>
      <x:c r="C20" s="350"/>
      <x:c r="D20" s="350"/>
      <x:c r="E20" s="350"/>
    </x:row>
  </x:sheetData>
  <x:mergeCells>
    <x:mergeCell ref="A1:E1"/>
    <x:mergeCell ref="A2:H3"/>
    <x:mergeCell ref="A17:E20"/>
  </x:mergeCells>
  <x:pageMargins left="0.7" right="0.7" top="0.75" bottom="0.75" header="0.3" footer="0.3"/>
  <x:tableParts count="1">
    <x:tablePart xmlns:r="http://schemas.openxmlformats.org/officeDocument/2006/relationships" r:id="Rc2c79c6ff32d4fd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00" hidden="0" customWidth="1"/>
    <x:col min="4" max="4" width="42" hidden="0" customWidth="1"/>
  </x:cols>
  <x:sheetData>
    <x:row r="1" ht="32" customHeight="1">
      <x:c r="A1" s="5" t="str">
        <x:v>Sources and Reproducibility</x:v>
      </x:c>
      <x:c r="B1" s="5"/>
      <x:c r="C1" s="5"/>
      <x:c r="D1" s="5"/>
    </x:row>
    <x:row r="5">
      <x:c r="A5" s="321" t="str">
        <x:v>Source Type</x:v>
      </x:c>
      <x:c r="B5" s="321" t="str">
        <x:v>Source</x:v>
      </x:c>
      <x:c r="C5" s="321" t="str">
        <x:v>Location / URL</x:v>
      </x:c>
      <x:c r="D5" s="321" t="str">
        <x:v>Use</x:v>
      </x:c>
    </x:row>
    <x:row r="6">
      <x:c r="A6" s="330" t="str">
        <x:v>Project data</x:v>
      </x:c>
      <x:c r="B6" s="330" t="str">
        <x:v>Validated clean SQLite database</x:v>
      </x:c>
      <x:c r="C6" s="330" t="str">
        <x:v>data/processed/construction_change_order_rfi_analytics.sqlite</x:v>
      </x:c>
      <x:c r="D6" s="330" t="str">
        <x:v>Primary analytical source</x:v>
      </x:c>
    </x:row>
    <x:row r="7">
      <x:c r="A7" s="330" t="str">
        <x:v>Project data</x:v>
      </x:c>
      <x:c r="B7" s="330" t="str">
        <x:v>Clean RFI log</x:v>
      </x:c>
      <x:c r="C7" s="330" t="str">
        <x:v>data/cleaned/rfi_log_clean.csv</x:v>
      </x:c>
      <x:c r="D7" s="330" t="str">
        <x:v>RFI response and impact analysis</x:v>
      </x:c>
    </x:row>
    <x:row r="8">
      <x:c r="A8" s="330" t="str">
        <x:v>Project data</x:v>
      </x:c>
      <x:c r="B8" s="330" t="str">
        <x:v>Clean change orders</x:v>
      </x:c>
      <x:c r="C8" s="330" t="str">
        <x:v>data/cleaned/change_orders_clean.csv</x:v>
      </x:c>
      <x:c r="D8" s="330" t="str">
        <x:v>Approval, exposure, and impact analysis</x:v>
      </x:c>
    </x:row>
    <x:row r="9">
      <x:c r="A9" s="330" t="str">
        <x:v>Project data</x:v>
      </x:c>
      <x:c r="B9" s="330" t="str">
        <x:v>Workflow events</x:v>
      </x:c>
      <x:c r="C9" s="330" t="str">
        <x:v>data/cleaned/workflow_events_clean.csv</x:v>
      </x:c>
      <x:c r="D9" s="330" t="str">
        <x:v>Stage duration, handoff, and revision-loop analysis</x:v>
      </x:c>
    </x:row>
    <x:row r="10">
      <x:c r="A10" s="330" t="str">
        <x:v>Project data</x:v>
      </x:c>
      <x:c r="B10" s="330" t="str">
        <x:v>RFI/change bridge</x:v>
      </x:c>
      <x:c r="C10" s="330" t="str">
        <x:v>data/cleaned/rfi_change_links_clean.csv</x:v>
      </x:c>
      <x:c r="D10" s="330" t="str">
        <x:v>Conversion and relationship analysis</x:v>
      </x:c>
    </x:row>
    <x:row r="11">
      <x:c r="A11" s="330" t="str">
        <x:v>Methodology</x:v>
      </x:c>
      <x:c r="B11" s="330" t="str">
        <x:v>IBM CRISP-DM overview</x:v>
      </x:c>
      <x:c r="C11" s="330" t="str">
        <x:v>https://www.ibm.com/docs/en/spss-modeler/18.6.0?topic=dm-crisp-help-overview</x:v>
      </x:c>
      <x:c r="D11" s="330" t="str">
        <x:v>Lifecycle terminology</x:v>
      </x:c>
    </x:row>
    <x:row r="12">
      <x:c r="A12" s="330" t="str">
        <x:v>Methodology</x:v>
      </x:c>
      <x:c r="B12" s="330" t="str">
        <x:v>ASQ DMAIC</x:v>
      </x:c>
      <x:c r="C12" s="330" t="str">
        <x:v>https://asq.org/quality-resources/dmaic</x:v>
      </x:c>
      <x:c r="D12" s="330" t="str">
        <x:v>Process-improvement terminology</x:v>
      </x:c>
    </x:row>
    <x:row r="13">
      <x:c r="A13" s="330" t="str">
        <x:v>Methodology</x:v>
      </x:c>
      <x:c r="B13" s="330" t="str">
        <x:v>Microsoft Data Science Lifecycle</x:v>
      </x:c>
      <x:c r="C13" s="330" t="str">
        <x:v>https://learn.microsoft.com/en-us/shows/dev-intro-to-data-science/what-is-the-data-science-lifecycle-2-of-28</x:v>
      </x:c>
      <x:c r="D13" s="330" t="str">
        <x:v>Modeling and deployment terminology</x:v>
      </x:c>
    </x:row>
    <x:row r="14">
      <x:c r="A14" s="330" t="str">
        <x:v>Methodology</x:v>
      </x:c>
      <x:c r="B14" s="330" t="str">
        <x:v>PMI Process Groups</x:v>
      </x:c>
      <x:c r="C14" s="330" t="str">
        <x:v>https://www.pmi.org/standards/process-groups</x:v>
      </x:c>
      <x:c r="D14" s="330" t="str">
        <x:v>Project-governance terminology</x:v>
      </x:c>
    </x:row>
    <x:row r="18">
      <x:c r="A18" s="13" t="str">
        <x:v>Synthetic-data disclosure: All project names, organizations, people, budgets, schedules, changes, RFIs, and performance records are fictional and were created for education, portfolio demonstration, and analytical-methodology development. They do not represent actual In Project LLC clients or confidential construction records.</x:v>
      </x:c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</x:sheetData>
  <x:mergeCells>
    <x:mergeCell ref="A1:D1"/>
    <x:mergeCell ref="A18:D21"/>
  </x:mergeCells>
  <x:pageMargins left="0.7" right="0.7" top="0.75" bottom="0.75" header="0.3" footer="0.3"/>
  <x:tableParts count="1">
    <x:tablePart xmlns:r="http://schemas.openxmlformats.org/officeDocument/2006/relationships" r:id="R49d9c3d8eb5542d2"/>
  </x:tableParts>
</x:worksheet>
</file>